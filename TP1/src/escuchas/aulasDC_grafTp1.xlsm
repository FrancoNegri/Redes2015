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basolo\Desktop\"/>
    </mc:Choice>
  </mc:AlternateContent>
  <bookViews>
    <workbookView xWindow="0" yWindow="0" windowWidth="19200" windowHeight="11595" firstSheet="2" activeTab="5"/>
  </bookViews>
  <sheets>
    <sheet name="Datos Originales" sheetId="1" r:id="rId1"/>
    <sheet name="Probabilidad Fuente S" sheetId="2" r:id="rId2"/>
    <sheet name="Probabilidad Fuente S1" sheetId="3" r:id="rId3"/>
    <sheet name="Hoja2" sheetId="5" r:id="rId4"/>
    <sheet name="Graficos Paquetes" sheetId="7" r:id="rId5"/>
    <sheet name="Probabilidad SRC DST" sheetId="8" r:id="rId6"/>
  </sheets>
  <definedNames>
    <definedName name="laboratorioDC" localSheetId="3">Hoja2!#REF!</definedName>
  </definedNames>
  <calcPr calcId="152511"/>
</workbook>
</file>

<file path=xl/calcChain.xml><?xml version="1.0" encoding="utf-8"?>
<calcChain xmlns="http://schemas.openxmlformats.org/spreadsheetml/2006/main">
  <c r="M5" i="8" l="1"/>
  <c r="M6" i="8"/>
  <c r="M16" i="8"/>
  <c r="M7" i="8"/>
  <c r="M8" i="8"/>
  <c r="M9" i="8"/>
  <c r="M10" i="8"/>
  <c r="M11" i="8"/>
  <c r="M12" i="8"/>
  <c r="M13" i="8"/>
  <c r="M14" i="8"/>
  <c r="M15" i="8"/>
  <c r="M17" i="8"/>
  <c r="M18" i="8"/>
  <c r="M19" i="8"/>
  <c r="M4" i="8"/>
  <c r="B13" i="8"/>
  <c r="C13" i="8"/>
  <c r="V5" i="7"/>
  <c r="X5" i="7" s="1"/>
  <c r="W5" i="7"/>
  <c r="Y5" i="7" s="1"/>
  <c r="V6" i="7"/>
  <c r="X6" i="7" s="1"/>
  <c r="W6" i="7"/>
  <c r="Y6" i="7" s="1"/>
  <c r="V7" i="7"/>
  <c r="X7" i="7" s="1"/>
  <c r="W7" i="7"/>
  <c r="Y7" i="7" s="1"/>
  <c r="V8" i="7"/>
  <c r="X8" i="7" s="1"/>
  <c r="W8" i="7"/>
  <c r="Y8" i="7" s="1"/>
  <c r="V9" i="7"/>
  <c r="X9" i="7" s="1"/>
  <c r="W9" i="7"/>
  <c r="Y9" i="7" s="1"/>
  <c r="V10" i="7"/>
  <c r="X10" i="7" s="1"/>
  <c r="W10" i="7"/>
  <c r="Y10" i="7" s="1"/>
  <c r="V11" i="7"/>
  <c r="X11" i="7" s="1"/>
  <c r="W11" i="7"/>
  <c r="Y11" i="7" s="1"/>
  <c r="V12" i="7"/>
  <c r="X12" i="7" s="1"/>
  <c r="W12" i="7"/>
  <c r="Y12" i="7" s="1"/>
  <c r="V13" i="7"/>
  <c r="X13" i="7" s="1"/>
  <c r="W13" i="7"/>
  <c r="Y13" i="7" s="1"/>
  <c r="V14" i="7"/>
  <c r="X14" i="7" s="1"/>
  <c r="W14" i="7"/>
  <c r="Y14" i="7" s="1"/>
  <c r="V15" i="7"/>
  <c r="X15" i="7" s="1"/>
  <c r="W15" i="7"/>
  <c r="Y15" i="7" s="1"/>
  <c r="V16" i="7"/>
  <c r="X16" i="7" s="1"/>
  <c r="W16" i="7"/>
  <c r="Y16" i="7" s="1"/>
  <c r="V17" i="7"/>
  <c r="X17" i="7" s="1"/>
  <c r="W17" i="7"/>
  <c r="Y17" i="7" s="1"/>
  <c r="V18" i="7"/>
  <c r="X18" i="7" s="1"/>
  <c r="W18" i="7"/>
  <c r="Y18" i="7" s="1"/>
  <c r="V19" i="7"/>
  <c r="X19" i="7" s="1"/>
  <c r="W19" i="7"/>
  <c r="Y19" i="7" s="1"/>
  <c r="V20" i="7"/>
  <c r="X20" i="7" s="1"/>
  <c r="W20" i="7"/>
  <c r="Y20" i="7" s="1"/>
  <c r="V21" i="7"/>
  <c r="X21" i="7" s="1"/>
  <c r="W21" i="7"/>
  <c r="Y21" i="7" s="1"/>
  <c r="V22" i="7"/>
  <c r="X22" i="7" s="1"/>
  <c r="W22" i="7"/>
  <c r="Y22" i="7" s="1"/>
  <c r="V23" i="7"/>
  <c r="X23" i="7" s="1"/>
  <c r="W23" i="7"/>
  <c r="Y23" i="7" s="1"/>
  <c r="V24" i="7"/>
  <c r="X24" i="7" s="1"/>
  <c r="W24" i="7"/>
  <c r="Y24" i="7" s="1"/>
  <c r="V25" i="7"/>
  <c r="X25" i="7" s="1"/>
  <c r="W25" i="7"/>
  <c r="Y25" i="7"/>
  <c r="V26" i="7"/>
  <c r="X26" i="7" s="1"/>
  <c r="W26" i="7"/>
  <c r="Y26" i="7" s="1"/>
  <c r="V27" i="7"/>
  <c r="X27" i="7" s="1"/>
  <c r="W27" i="7"/>
  <c r="Y27" i="7" s="1"/>
  <c r="V28" i="7"/>
  <c r="X28" i="7" s="1"/>
  <c r="W28" i="7"/>
  <c r="Y28" i="7" s="1"/>
  <c r="V29" i="7"/>
  <c r="X29" i="7" s="1"/>
  <c r="W29" i="7"/>
  <c r="Y29" i="7" s="1"/>
  <c r="V30" i="7"/>
  <c r="X30" i="7" s="1"/>
  <c r="W30" i="7"/>
  <c r="Y30" i="7" s="1"/>
  <c r="V31" i="7"/>
  <c r="X31" i="7" s="1"/>
  <c r="W31" i="7"/>
  <c r="Y31" i="7" s="1"/>
  <c r="V32" i="7"/>
  <c r="X32" i="7" s="1"/>
  <c r="W32" i="7"/>
  <c r="Y32" i="7" s="1"/>
  <c r="V33" i="7"/>
  <c r="X33" i="7" s="1"/>
  <c r="W33" i="7"/>
  <c r="Y33" i="7" s="1"/>
  <c r="V34" i="7"/>
  <c r="X34" i="7" s="1"/>
  <c r="W34" i="7"/>
  <c r="Y34" i="7" s="1"/>
  <c r="V35" i="7"/>
  <c r="X35" i="7" s="1"/>
  <c r="W35" i="7"/>
  <c r="Y35" i="7" s="1"/>
  <c r="V36" i="7"/>
  <c r="X36" i="7" s="1"/>
  <c r="W36" i="7"/>
  <c r="Y36" i="7" s="1"/>
  <c r="W4" i="7"/>
  <c r="V4" i="7"/>
  <c r="O16" i="7"/>
  <c r="Q16" i="7" s="1"/>
  <c r="P16" i="7"/>
  <c r="R16" i="7" s="1"/>
  <c r="O17" i="7"/>
  <c r="Q17" i="7" s="1"/>
  <c r="P17" i="7"/>
  <c r="R17" i="7" s="1"/>
  <c r="O18" i="7"/>
  <c r="P18" i="7"/>
  <c r="R18" i="7" s="1"/>
  <c r="Q18" i="7"/>
  <c r="O19" i="7"/>
  <c r="Q19" i="7" s="1"/>
  <c r="P19" i="7"/>
  <c r="R19" i="7" s="1"/>
  <c r="O20" i="7"/>
  <c r="Q20" i="7" s="1"/>
  <c r="P20" i="7"/>
  <c r="R20" i="7" s="1"/>
  <c r="O21" i="7"/>
  <c r="Q21" i="7" s="1"/>
  <c r="P21" i="7"/>
  <c r="R21" i="7" s="1"/>
  <c r="O22" i="7"/>
  <c r="P22" i="7"/>
  <c r="R22" i="7" s="1"/>
  <c r="Q22" i="7"/>
  <c r="O23" i="7"/>
  <c r="Q23" i="7" s="1"/>
  <c r="P23" i="7"/>
  <c r="R23" i="7" s="1"/>
  <c r="O24" i="7"/>
  <c r="Q24" i="7" s="1"/>
  <c r="P24" i="7"/>
  <c r="R24" i="7" s="1"/>
  <c r="O25" i="7"/>
  <c r="Q25" i="7" s="1"/>
  <c r="P25" i="7"/>
  <c r="R25" i="7" s="1"/>
  <c r="O26" i="7"/>
  <c r="P26" i="7"/>
  <c r="R26" i="7" s="1"/>
  <c r="Q26" i="7"/>
  <c r="O27" i="7"/>
  <c r="Q27" i="7" s="1"/>
  <c r="P27" i="7"/>
  <c r="R27" i="7" s="1"/>
  <c r="O28" i="7"/>
  <c r="Q28" i="7" s="1"/>
  <c r="P28" i="7"/>
  <c r="R28" i="7" s="1"/>
  <c r="O29" i="7"/>
  <c r="Q29" i="7" s="1"/>
  <c r="P29" i="7"/>
  <c r="R29" i="7" s="1"/>
  <c r="O30" i="7"/>
  <c r="P30" i="7"/>
  <c r="R30" i="7" s="1"/>
  <c r="Q30" i="7"/>
  <c r="O11" i="7"/>
  <c r="Q11" i="7" s="1"/>
  <c r="P11" i="7"/>
  <c r="R11" i="7" s="1"/>
  <c r="O8" i="7"/>
  <c r="Q8" i="7" s="1"/>
  <c r="P8" i="7"/>
  <c r="R8" i="7" s="1"/>
  <c r="O14" i="7"/>
  <c r="P14" i="7"/>
  <c r="R14" i="7" s="1"/>
  <c r="Q14" i="7"/>
  <c r="O12" i="7"/>
  <c r="Q12" i="7" s="1"/>
  <c r="P12" i="7"/>
  <c r="R12" i="7" s="1"/>
  <c r="O4" i="7"/>
  <c r="Q4" i="7" s="1"/>
  <c r="P4" i="7"/>
  <c r="R4" i="7" s="1"/>
  <c r="O5" i="7"/>
  <c r="Q5" i="7" s="1"/>
  <c r="P5" i="7"/>
  <c r="R5" i="7" s="1"/>
  <c r="O6" i="7"/>
  <c r="Q6" i="7" s="1"/>
  <c r="P6" i="7"/>
  <c r="R6" i="7" s="1"/>
  <c r="O7" i="7"/>
  <c r="Q7" i="7" s="1"/>
  <c r="P7" i="7"/>
  <c r="R7" i="7" s="1"/>
  <c r="O9" i="7"/>
  <c r="Q9" i="7" s="1"/>
  <c r="P9" i="7"/>
  <c r="R9" i="7" s="1"/>
  <c r="O10" i="7"/>
  <c r="Q10" i="7" s="1"/>
  <c r="P10" i="7"/>
  <c r="R10" i="7" s="1"/>
  <c r="O13" i="7"/>
  <c r="Q13" i="7" s="1"/>
  <c r="P13" i="7"/>
  <c r="R13" i="7" s="1"/>
  <c r="P15" i="7"/>
  <c r="O15" i="7"/>
  <c r="Y4" i="7" l="1"/>
  <c r="X4" i="7"/>
  <c r="R15" i="7"/>
  <c r="Q15" i="7"/>
</calcChain>
</file>

<file path=xl/sharedStrings.xml><?xml version="1.0" encoding="utf-8"?>
<sst xmlns="http://schemas.openxmlformats.org/spreadsheetml/2006/main" count="2287" uniqueCount="346">
  <si>
    <t>Tipo de Paquete</t>
  </si>
  <si>
    <t>Probabilidad Fuente S</t>
  </si>
  <si>
    <t>Probabilidad</t>
  </si>
  <si>
    <t>ARP (2054)</t>
  </si>
  <si>
    <t>Probabilidad Fuente S1</t>
  </si>
  <si>
    <t>Datos a Completar</t>
  </si>
  <si>
    <t>Probabilidad de la Fuente S1:</t>
  </si>
  <si>
    <t>Probabilidad de la Fuente S:</t>
  </si>
  <si>
    <t>Entropía de la Fuente S:</t>
  </si>
  <si>
    <t>Entropía de la Fuente S1:</t>
  </si>
  <si>
    <t>Relación MAC-IP:</t>
  </si>
  <si>
    <t>IPv6 (34525)</t>
  </si>
  <si>
    <t>IPv4 (2048)</t>
  </si>
  <si>
    <t>Who_has_src_ips_to_count:</t>
  </si>
  <si>
    <t>Who_has_dst_ips_to_count:</t>
  </si>
  <si>
    <t>Is_at_src_ips_to_count:</t>
  </si>
  <si>
    <t>Is_at_dst_ips_to_count:</t>
  </si>
  <si>
    <t>Packet has no attribute type</t>
  </si>
  <si>
    <t>Who has? ip 10.2.7.254, tell ip 10.2.7.55, at mac cc:c3:ea:18:0e:64</t>
  </si>
  <si>
    <t>10.2.202.81</t>
  </si>
  <si>
    <t>10.2.202.249</t>
  </si>
  <si>
    <t>10.2.203.174</t>
  </si>
  <si>
    <t>10.2.200.102</t>
  </si>
  <si>
    <t>10.2.202.237</t>
  </si>
  <si>
    <t>10.2.201.138</t>
  </si>
  <si>
    <t>10.2.200.219</t>
  </si>
  <si>
    <t>10.2.200.193</t>
  </si>
  <si>
    <t>10.2.200.213</t>
  </si>
  <si>
    <t>10.2.200.194</t>
  </si>
  <si>
    <t>10.2.201.118</t>
  </si>
  <si>
    <t>10.2.2.16</t>
  </si>
  <si>
    <t>10.2.202.77</t>
  </si>
  <si>
    <t>10.2.202.102</t>
  </si>
  <si>
    <t>10.2.7.254</t>
  </si>
  <si>
    <t>10.2.202.194</t>
  </si>
  <si>
    <t>10.2.203.118</t>
  </si>
  <si>
    <t>10.2.203.254</t>
  </si>
  <si>
    <t>10.2.200.239</t>
  </si>
  <si>
    <t>10.2.202.46</t>
  </si>
  <si>
    <t>10.2.202.37</t>
  </si>
  <si>
    <t>10.2.203.12</t>
  </si>
  <si>
    <t>10.2.203.43</t>
  </si>
  <si>
    <t>10.2.203.9</t>
  </si>
  <si>
    <t>0.0.0.0</t>
  </si>
  <si>
    <t>10.2.7.55</t>
  </si>
  <si>
    <t>10.2.200.167</t>
  </si>
  <si>
    <t>10.2.201.156</t>
  </si>
  <si>
    <t>10.2.201.249</t>
  </si>
  <si>
    <t>10.2.203.168</t>
  </si>
  <si>
    <t>10.2.203.90</t>
  </si>
  <si>
    <t>10.2.2.254</t>
  </si>
  <si>
    <t>10.2.201.166</t>
  </si>
  <si>
    <t>DST - Who-Has</t>
  </si>
  <si>
    <t>SRC - Who-Has</t>
  </si>
  <si>
    <t>SRC - Is-At</t>
  </si>
  <si>
    <t>DST - Is-At</t>
  </si>
  <si>
    <t>10.2.200.193:</t>
  </si>
  <si>
    <t>10.2.200.239:</t>
  </si>
  <si>
    <t>10.2.202.37:</t>
  </si>
  <si>
    <t>10.2.201.156:</t>
  </si>
  <si>
    <t>10.2.202.171</t>
  </si>
  <si>
    <t>10.2.202.175</t>
  </si>
  <si>
    <t>10.2.201.159</t>
  </si>
  <si>
    <t>10.2.201.255</t>
  </si>
  <si>
    <t>10.2.200.85</t>
  </si>
  <si>
    <t>Otros</t>
  </si>
  <si>
    <t>WHO-HAS</t>
  </si>
  <si>
    <t>Source</t>
  </si>
  <si>
    <t>Destination</t>
  </si>
  <si>
    <t>Is-At</t>
  </si>
  <si>
    <t>The ip 10.2.203.254 is at mac 00:1b:21:7f:6c:fd, telling ip 10.2.203.104, at mac ac:f7:f3:5c:64:b9</t>
  </si>
  <si>
    <t>Who has? ip 10.2.203.254, tell ip 10.2.200.171, at mac cc:c3:ea:d8:29:95</t>
  </si>
  <si>
    <t>The ip 10.2.203.254 is at mac 00:1b:21:7f:6c:fd, telling ip 10.2.200.171, at mac cc:c3:ea:d8:29:95</t>
  </si>
  <si>
    <t>The ip 10.2.203.254 is at mac 00:1b:21:7f:6c:fd, telling ip 10.2.201.151, at mac 8c:3a:e3:12:70:82</t>
  </si>
  <si>
    <t>Who has? ip 10.2.203.254, tell ip 10.2.203.28, at mac f8:cf:c5:87:e8:15</t>
  </si>
  <si>
    <t>The ip 10.2.203.254 is at mac 00:1b:21:7f:6c:fd, telling ip 10.2.203.28, at mac f8:cf:c5:87:e8:15</t>
  </si>
  <si>
    <t>The ip 10.2.203.254 is at mac 00:1b:21:7f:6c:fd, telling ip 10.2.201.225, at mac 64:6c:b2:a6:4a:42</t>
  </si>
  <si>
    <t>Who has? ip 169.254.165.116, tell ip 0.0.0.0, at mac 74:e2:8c:02:2a:78</t>
  </si>
  <si>
    <t>The ip 10.2.203.254 is at mac 00:1b:21:7f:6c:fd, telling ip 10.2.201.156, at mac cc:c3:ea:da:ef:e3</t>
  </si>
  <si>
    <t>Who has? ip 10.2.203.254, tell ip 10.2.202.157, at mac 64:6c:b2:18:0e:ad</t>
  </si>
  <si>
    <t>The ip 10.2.203.254 is at mac 00:1b:21:7f:6c:fd, telling ip 10.2.202.157, at mac 64:6c:b2:18:0e:ad</t>
  </si>
  <si>
    <t>Who has? ip 10.2.201.224, tell ip 10.2.202.157, at mac 64:6c:b2:18:0e:ad</t>
  </si>
  <si>
    <t>The ip 10.2.201.224 is at mac 3c:15:c2:bf:05:80, telling ip 10.2.202.157, at mac 64:6c:b2:18:0e:ad</t>
  </si>
  <si>
    <t>Who has? ip 10.2.203.254, tell ip 10.2.203.83, at mac f8:d0:bd:ba:c4:38</t>
  </si>
  <si>
    <t>Who has? ip 10.2.203.254, tell ip 10.2.201.138, at mac 80:6c:1b:c8:ee:95</t>
  </si>
  <si>
    <t>The ip 10.2.203.254 is at mac 00:1b:21:7f:6c:fd, telling ip 10.2.203.83, at mac f8:d0:bd:ba:c4:38</t>
  </si>
  <si>
    <t>The ip 10.2.203.254 is at mac 00:1b:21:7f:6c:fd, telling ip 10.2.201.138, at mac 80:6c:1b:c8:ee:95</t>
  </si>
  <si>
    <t>The ip 10.2.203.254 is at mac 00:1b:21:7f:6c:fd, telling ip 10.2.201.221, at mac 9c:d9:17:db:0d:a5</t>
  </si>
  <si>
    <t>Who has? ip 10.2.203.254, tell ip 10.2.202.53, at mac 78:3a:84:0b:18:f7</t>
  </si>
  <si>
    <t>The ip 10.2.203.254 is at mac 00:1b:21:7f:6c:fd, telling ip 10.2.202.53, at mac 78:3a:84:0b:18:f7</t>
  </si>
  <si>
    <t>The ip 10.2.203.254 is at mac 00:1b:21:7f:6c:fd, telling ip 10.2.203.9, at mac e4:12:1d:74:76:bb</t>
  </si>
  <si>
    <t>Who has? ip 10.2.203.254, tell ip 10.2.203.104, at mac ac:f7:f3:5c:64:b9</t>
  </si>
  <si>
    <t>Who has? ip 10.2.202.175, tell ip 10.2.202.175, at mac 84:8e:df:82:28:a1</t>
  </si>
  <si>
    <t>Who has? ip 10.2.203.254, tell ip 10.2.200.124, at mac 98:0c:82:d2:aa:f7</t>
  </si>
  <si>
    <t>The ip 10.2.203.254 is at mac 00:1b:21:7f:6c:fd, telling ip 10.2.201.46, at mac 9c:d9:17:b3:86:fa</t>
  </si>
  <si>
    <t>Who has? ip 10.2.203.254, tell ip 10.2.200.213, at mac 38:59:f9:02:c3:bc</t>
  </si>
  <si>
    <t>The ip 10.2.203.254 is at mac 00:1b:21:7f:6c:fd, telling ip 10.2.200.213, at mac 38:59:f9:02:c3:bc</t>
  </si>
  <si>
    <t>The ip 10.2.203.254 is at mac 00:1b:21:7f:6c:fd, telling ip 10.2.200.124, at mac 98:0c:82:d2:aa:f7</t>
  </si>
  <si>
    <t>The ip 10.2.203.254 is at mac 00:1b:21:7f:6c:fd, telling ip 10.2.200.252, at mac e4:40:e2:c1:be:ff</t>
  </si>
  <si>
    <t>The ip 10.2.203.254 is at mac 00:1b:21:7f:6c:fd, telling ip 10.2.203.150, at mac b4:62:93:90:b5:80</t>
  </si>
  <si>
    <t>The ip 10.2.203.254 is at mac 00:1b:21:7f:6c:fd, telling ip 10.2.203.12, at mac 34:bb:26:e6:b0:2b</t>
  </si>
  <si>
    <t>The ip 10.2.203.254 is at mac 00:1b:21:7f:6c:fd, telling ip 10.2.202.255, at mac f8:e0:79:ad:52:67</t>
  </si>
  <si>
    <t>The ip 10.2.203.254 is at mac 00:1b:21:7f:6c:fd, telling ip 10.2.200.85, at mac e4:90:7e:e4:b4:2e</t>
  </si>
  <si>
    <t>Who has? ip 10.2.203.254, tell ip 10.2.202.204, at mac e4:90:7e:bd:ae:29</t>
  </si>
  <si>
    <t>The ip 10.2.203.254 is at mac 00:1b:21:7f:6c:fd, telling ip 10.2.202.204, at mac e4:90:7e:bd:ae:29</t>
  </si>
  <si>
    <t>Who has? ip 10.2.203.254, tell ip 10.2.202.255, at mac f8:e0:79:ad:52:67</t>
  </si>
  <si>
    <t>Who has? ip 10.2.203.254, tell ip 10.2.203.9, at mac e4:12:1d:74:76:bb</t>
  </si>
  <si>
    <t>Who has? ip 10.2.203.254, tell ip 10.2.202.136, at mac e4:90:7e:4d:e0:5d</t>
  </si>
  <si>
    <t>Who has? ip 10.2.203.254, tell ip 10.2.201.225, at mac 64:6c:b2:a6:4a:42</t>
  </si>
  <si>
    <t>The ip 10.2.203.254 is at mac 00:1b:21:7f:6c:fd, telling ip 10.2.202.136, at mac e4:90:7e:4d:e0:5d</t>
  </si>
  <si>
    <t>Who has? ip 169.254.165.116, tell ip 169.254.165.116, at mac 74:e2:8c:02:2a:78</t>
  </si>
  <si>
    <t>Who has? ip 10.2.203.254, tell ip 10.2.202.124, at mac a4:70:d6:02:85:61</t>
  </si>
  <si>
    <t>The ip 10.2.203.254 is at mac 00:1b:21:7f:6c:fd, telling ip 10.2.202.124, at mac a4:70:d6:02:85:61</t>
  </si>
  <si>
    <t>Who has? ip 10.2.203.254, tell ip 10.2.200.144, at mac b8:98:f7:58:84:e2</t>
  </si>
  <si>
    <t>Who has? ip 10.2.203.254, tell ip 10.2.203.119, at mac f0:27:65:1a:89:ec</t>
  </si>
  <si>
    <t>The ip 10.2.203.254 is at mac 00:1b:21:7f:6c:fd, telling ip 10.2.203.119, at mac f0:27:65:1a:89:ec</t>
  </si>
  <si>
    <t>Who has? ip 10.2.203.254, tell ip 10.2.201.92, at mac e8:50:8b:1b:05:4d</t>
  </si>
  <si>
    <t>The ip 10.2.203.254 is at mac 00:1b:21:7f:6c:fd, telling ip 10.2.201.92, at mac e8:50:8b:1b:05:4d</t>
  </si>
  <si>
    <t>The ip 10.2.203.254 is at mac 00:1b:21:7f:6c:fd, telling ip 10.2.200.125, at mac ac:22:0b:4a:a5:3c</t>
  </si>
  <si>
    <t>The ip 10.2.203.254 is at mac 00:1b:21:7f:6c:fd, telling ip 10.2.203.102, at mac 80:6c:1b:9a:09:3a</t>
  </si>
  <si>
    <t>Who has? ip 10.2.203.254, tell ip 10.2.203.12, at mac 34:bb:26:e6:b0:2b</t>
  </si>
  <si>
    <t>Who has? ip 10.2.203.254, tell ip 10.2.202.194, at mac 98:f1:70:57:7b:c0</t>
  </si>
  <si>
    <t>The ip 10.2.203.254 is at mac 00:1b:21:7f:6c:fd, telling ip 10.2.202.194, at mac 98:f1:70:57:7b:c0</t>
  </si>
  <si>
    <t>The ip 10.2.201.224 is at mac 3c:15:c2:bf:05:80, telling ip 10.2.202.206, at mac 80:9b:20:0a:3e:1c</t>
  </si>
  <si>
    <t>The ip 10.2.203.254 is at mac 00:1b:21:7f:6c:fd, telling ip 10.2.203.43, at mac e8:91:20:0e:ce:29</t>
  </si>
  <si>
    <t>The ip 10.2.203.254 is at mac 00:1b:21:7f:6c:fd, telling ip 10.2.202.207, at mac e4:40:e2:6d:74:5a</t>
  </si>
  <si>
    <t>Who has? ip 10.2.201.224, tell ip 10.2.202.206, at mac 80:9b:20:0a:3e:1c</t>
  </si>
  <si>
    <t>Who has? ip 10.2.203.254, tell ip 10.2.200.101, at mac 80:6c:1b:9b:5a:ca</t>
  </si>
  <si>
    <t>The ip 10.2.203.254 is at mac 00:1b:21:7f:6c:fd, telling ip 10.2.200.101, at mac 80:6c:1b:9b:5a:ca</t>
  </si>
  <si>
    <t>Who has? ip 10.2.203.254, tell ip 10.2.202.228, at mac 60:be:b5:42:a3:0b</t>
  </si>
  <si>
    <t>The ip 10.2.203.254 is at mac 00:1b:21:7f:6c:fd, telling ip 10.2.202.237, at mac 88:9b:39:26:4f:ed</t>
  </si>
  <si>
    <t>The ip 10.2.203.254 is at mac 00:1b:21:7f:6c:fd, telling ip 10.2.202.228, at mac 60:be:b5:42:a3:0b</t>
  </si>
  <si>
    <t>The ip 10.2.7.254 is at mac 00:1b:21:7f:6c:fd, telling ip 10.2.7.55, at mac cc:c3:ea:18:0e:64</t>
  </si>
  <si>
    <t>Who has? ip 10.2.203.254, tell ip 10.2.202.192, at mac 34:4d:f7:15:46:d3</t>
  </si>
  <si>
    <t>The ip 10.2.203.254 is at mac 00:1b:21:7f:6c:fd, telling ip 10.2.202.192, at mac 34:4d:f7:15:46:d3</t>
  </si>
  <si>
    <t>Who has? ip 10.2.203.254, tell ip 10.2.202.60, at mac 8c:3a:e3:10:18:a7</t>
  </si>
  <si>
    <t>Who has? ip 10.0.0.253, tell ip 10.2.202.69, at mac 34:4d:f7:15:46:d3</t>
  </si>
  <si>
    <t>Who has? ip 10.0.0.241, tell ip 10.2.202.69, at mac 34:4d:f7:15:46:d3</t>
  </si>
  <si>
    <t>The ip 10.2.203.254 is at mac 00:1b:21:7f:6c:fd, telling ip 10.2.202.60, at mac 8c:3a:e3:10:18:a7</t>
  </si>
  <si>
    <t>The ip 10.2.0.254 is at mac 00:1b:21:7f:6c:fd, telling ip 10.2.202.69, at mac 34:4d:f7:15:46:d3</t>
  </si>
  <si>
    <t>Who has? ip 10.2.203.254, tell ip 10.2.201.206, at mac 08:3e:8e:85:89:db</t>
  </si>
  <si>
    <t>The ip 10.2.203.254 is at mac 00:1b:21:7f:6c:fd, telling ip 10.2.201.206, at mac 08:3e:8e:85:89:db</t>
  </si>
  <si>
    <t>Who has? ip 10.2.203.254, tell ip 10.2.202.206, at mac 80:9b:20:0a:3e:1c</t>
  </si>
  <si>
    <t>The ip 10.2.203.254 is at mac 00:1b:21:7f:6c:fd, telling ip 10.2.202.206, at mac 80:9b:20:0a:3e:1c</t>
  </si>
  <si>
    <t>Who has? ip 10.2.202.249, tell ip 10.2.202.249, at mac 44:74:6c:d9:11:e8</t>
  </si>
  <si>
    <t>The ip 10.2.203.254 is at mac 00:1b:21:7f:6c:fd, telling ip 10.2.202.249, at mac 44:74:6c:d9:11:e8</t>
  </si>
  <si>
    <t>The ip 10.2.203.254 is at mac 00:1b:21:7f:6c:fd, telling ip 10.2.203.111, at mac 24:db:ed:40:39:8f</t>
  </si>
  <si>
    <t>The ip 10.2.203.254 is at mac 00:1b:21:7f:6c:fd, telling ip 10.2.203.115, at mac 68:a8:6d:78:d0:be</t>
  </si>
  <si>
    <t>The ip 10.2.203.254 is at mac 00:1b:21:7f:6c:fd, telling ip 10.2.203.97, at mac f8:f1:b6:cd:19:be</t>
  </si>
  <si>
    <t>The ip 10.2.203.254 is at mac 00:1b:21:7f:6c:fd, telling ip 10.2.201.159, at mac 28:ba:b5:f9:01:96</t>
  </si>
  <si>
    <t>Who has? ip 192.168.1.1, tell ip 192.168.1.106, at mac b8:c7:5d:91:bc:19</t>
  </si>
  <si>
    <t>Who has? ip 10.255.255.254, tell ip 10.200.1.237, at mac b8:c7:5d:91:bc:19</t>
  </si>
  <si>
    <t>Who has? ip 10.2.203.254, tell ip 10.2.200.154, at mac e0:75:7d:66:be:8e</t>
  </si>
  <si>
    <t>The ip 10.2.203.254 is at mac 00:1b:21:7f:6c:fd, telling ip 10.2.200.154, at mac e0:75:7d:66:be:8e</t>
  </si>
  <si>
    <t>The ip 10.2.203.254 is at mac 00:1b:21:7f:6c:fd, telling ip 10.2.200.207, at mac 24:4b:81:fa:ac:72</t>
  </si>
  <si>
    <t>The ip 10.2.203.254 is at mac 00:1b:21:7f:6c:fd, telling ip 10.2.200.110, at mac 30:c7:ae:aa:78:2e</t>
  </si>
  <si>
    <t>Who has? ip 10.2.203.254, tell ip 10.2.200.125, at mac ac:22:0b:4a:a5:3c</t>
  </si>
  <si>
    <t>The ip 10.2.203.254 is at mac 00:1b:21:7f:6c:fd, telling ip 10.2.202.11, at mac 0c:3e:9f:0f:34:d2</t>
  </si>
  <si>
    <t>Who has? ip 10.2.203.254, tell ip 10.2.202.69, at mac 34:4d:f7:15:46:d3</t>
  </si>
  <si>
    <t>The ip 10.2.203.254 is at mac 00:1b:21:7f:6c:fd, telling ip 10.2.202.69, at mac 34:4d:f7:15:46:d3</t>
  </si>
  <si>
    <t>Who has? ip 10.2.203.254, tell ip 10.2.200.252, at mac e4:40:e2:c1:be:ff</t>
  </si>
  <si>
    <t>The ip 10.2.203.254 is at mac 00:1b:21:7f:6c:fd, telling ip 10.2.200.142, at mac f8:e0:79:59:2e:cf</t>
  </si>
  <si>
    <t>Who has? ip 10.2.203.254, tell ip 10.2.201.255, at mac 90:68:c3:d9:ce:04</t>
  </si>
  <si>
    <t>The ip 10.2.203.254 is at mac 00:1b:21:7f:6c:fd, telling ip 10.2.201.255, at mac 90:68:c3:d9:ce:04</t>
  </si>
  <si>
    <t>The ip 10.2.203.254 is at mac 00:1b:21:7f:6c:fd, telling ip 10.2.200.239, at mac a4:70:d6:03:0a:81</t>
  </si>
  <si>
    <t>The ip 10.2.203.254 is at mac 00:1b:21:7f:6c:fd, telling ip 10.2.203.112, at mac e8:91:20:b6:8c:2a</t>
  </si>
  <si>
    <t>Who has? ip 10.2.203.254, tell ip 10.2.201.168, at mac 44:a4:2d:14:b4:e4</t>
  </si>
  <si>
    <t>The ip 10.2.203.254 is at mac 00:1b:21:7f:6c:fd, telling ip 10.2.201.168, at mac 44:a4:2d:14:b4:e4</t>
  </si>
  <si>
    <t>Who has? ip 10.2.200.194, tell ip 0.0.0.0, at mac 8c:64:22:e5:0b:36</t>
  </si>
  <si>
    <t>Who has? ip 10.2.203.254, tell ip 10.2.203.115, at mac 68:a8:6d:78:d0:be</t>
  </si>
  <si>
    <t>Who has? ip 10.2.200.194, tell ip 10.2.200.194, at mac 8c:64:22:e5:0b:36</t>
  </si>
  <si>
    <t>The ip 10.2.203.254 is at mac 00:1b:21:7f:6c:fd, telling ip 10.2.200.194, at mac 8c:64:22:e5:0b:36</t>
  </si>
  <si>
    <t>The ip 10.2.203.254 is at mac 00:1b:21:7f:6c:fd, telling ip 10.2.201.28, at mac 74:e2:f5:bb:3a:90</t>
  </si>
  <si>
    <t>Who has? ip 10.2.203.254, tell ip 10.2.203.97, at mac f8:f1:b6:cd:19:be</t>
  </si>
  <si>
    <t>The ip 10.2.203.254 is at mac 00:1b:21:7f:6c:fd, telling ip 10.2.203.118, at mac b8:c7:5d:91:bc:19</t>
  </si>
  <si>
    <t>Who has? ip 10.2.203.254, tell ip 10.2.203.174, at mac a0:82:1f:b5:bd:44</t>
  </si>
  <si>
    <t>The ip 10.2.203.254 is at mac 00:1b:21:7f:6c:fd, telling ip 10.2.203.174, at mac a0:82:1f:b5:bd:44</t>
  </si>
  <si>
    <t>The ip 10.2.203.254 is at mac 00:1b:21:7f:6c:fd, telling ip 10.2.200.148, at mac 44:a4:2d:01:cd:7f</t>
  </si>
  <si>
    <t>The ip 10.2.203.254 is at mac 00:1b:21:7f:6c:fd, telling ip 10.2.202.81, at mac cc:c3:ea:45:73:df</t>
  </si>
  <si>
    <t>The ip 10.2.203.254 is at mac 00:1b:21:7f:6c:fd, telling ip 10.2.202.102, at mac ac:cf:5c:91:a9:a1</t>
  </si>
  <si>
    <t>Who has? ip 10.2.203.254, tell ip 10.2.203.111, at mac 24:db:ed:40:39:8f</t>
  </si>
  <si>
    <t>The ip 10.2.203.254 is at mac 00:1b:21:7f:6c:fd, telling ip 10.2.203.44, at mac b0:79:94:db:48:99</t>
  </si>
  <si>
    <t>Who has? ip 10.2.203.254, tell ip 10.2.201.243, at mac e0:f8:47:44:d6:e2</t>
  </si>
  <si>
    <t>The ip 10.2.203.254 is at mac 00:1b:21:7f:6c:fd, telling ip 10.2.201.243, at mac e0:f8:47:44:d6:e2</t>
  </si>
  <si>
    <t>Who has? ip 169.254.255.255, tell ip 10.2.201.243, at mac e0:f8:47:44:d6:e2</t>
  </si>
  <si>
    <t>The ip 10.2.203.254 is at mac 00:1b:21:7f:6c:fd, telling ip 10.2.200.9, at mac 48:59:29:b4:97:b3</t>
  </si>
  <si>
    <t>The ip 10.2.203.254 is at mac 00:1b:21:7f:6c:fd, telling ip 10.2.202.171, at mac e8:39:df:d8:e5:68</t>
  </si>
  <si>
    <t>The ip 10.2.203.254 is at mac 00:1b:21:7f:6c:fd, telling ip 10.2.200.102, at mac f8:e0:79:56:08:a7</t>
  </si>
  <si>
    <t>Who has? ip 10.2.203.254, tell ip 10.2.200.219, at mac cc:fa:00:ed:93:b9</t>
  </si>
  <si>
    <t>The ip 10.2.203.254 is at mac 00:1b:21:7f:6c:fd, telling ip 10.2.200.219, at mac cc:fa:00:ed:93:b9</t>
  </si>
  <si>
    <t>The ip 10.2.203.254 is at mac 00:1b:21:7f:6c:fd, telling ip 10.2.202.175, at mac 84:8e:df:82:28:a1</t>
  </si>
  <si>
    <t>The ip 10.2.203.254 is at mac 00:1b:21:7f:6c:fd, telling ip 10.52.115.121, at mac d0:51:62:77:d2:59</t>
  </si>
  <si>
    <t>Who has? ip 10.2.203.254, tell ip 10.2.202.154, at mac 40:78:6a:f2:4a:28</t>
  </si>
  <si>
    <t>The ip 10.2.203.254 is at mac 00:1b:21:7f:6c:fd, telling ip 10.2.202.154, at mac 40:78:6a:f2:4a:28</t>
  </si>
  <si>
    <t>The ip 10.2.203.254 is at mac 00:1b:21:7f:6c:fd, telling ip 10.2.202.216, at mac 84:55:a5:9b:4e:da</t>
  </si>
  <si>
    <t>Who has? ip 10.2.203.254, tell ip 10.2.203.118, at mac b8:c7:5d:91:bc:19</t>
  </si>
  <si>
    <t>Who has? ip 10.2.203.254, tell ip 10.2.200.193, at mac 1c:56:fe:47:b6:b8</t>
  </si>
  <si>
    <t>The ip 10.2.203.254 is at mac 00:1b:21:7f:6c:fd, telling ip 10.2.200.193, at mac 1c:56:fe:47:b6:b8</t>
  </si>
  <si>
    <t>Who has? ip 10.2.203.254, tell ip 10.2.200.85, at mac e4:90:7e:e4:b4:2e</t>
  </si>
  <si>
    <t>The ip 10.2.203.254 is at mac 00:1b:21:7f:6c:fd, telling ip 10.2.201.9, at mac 78:f7:be:98:d6:ff</t>
  </si>
  <si>
    <t>Who has? ip 10.2.203.254, tell ip 10.2.202.37, at mac e4:90:7e:4c:1a:7a</t>
  </si>
  <si>
    <t>The ip 10.2.203.254 is at mac 00:1b:21:7f:6c:fd, telling ip 10.2.202.37, at mac e4:90:7e:4c:1a:7a</t>
  </si>
  <si>
    <t>Who has? ip 10.2.203.254, tell ip 10.2.202.102, at mac ac:cf:5c:91:a9:a1</t>
  </si>
  <si>
    <t>{2048: 0.9915269606598525, 34525: 0.002169040036561745, 2054: 0.006303999303585808}</t>
  </si>
  <si>
    <t>0.0774445116292</t>
  </si>
  <si>
    <t>{'f8:f1:b6:cd:19:be': 0.0037399309551208286, '8c:64:22:e5:0b:36': 0.0011507479861910242, 'cc:c3:ea:45:73:df': 0.0005753739930955121, '98:0c:82:d2:aa:f7': 0.0037399309551208286, '34:4d:f7:15:46:d3': 0.14355581127733028, 'cc:c3:ea:d8:29:95': 0.03538550057537399, '34:bb:26:e6:b0:2b': 0.010069044879171462, '24:4b:81:fa:ac:72': 0.0014384349827387803, '00:22:6b:5e:82:b3': 0.0008630609896432681, 'e0:f8:47:44:d6:e2': 0.0014384349827387803, '28:ba:b5:f9:01:96': 0.0023014959723820483, '64:6c:b2:a6:4a:42': 0.002589182968929804, '0c:3e:9f:0f:34:d2': 0.0014384349827387803, 'ff:ff:ff:ff:ff:ff': 0.21777905638665132, 'f8:d0:bd:ba:c4:38': 0.004027617951668585, 'f8:e0:79:ad:52:67': 0.012658227848101266, 'e4:90:7e:4c:1a:7a': 0.0005753739930955121, '48:59:29:b4:97:b3': 0.00028768699654775604, 'cc:fa:00:ed:93:b9': 0.0005753739930955121, '80:6c:1b:c8:ee:95': 0.002589182968929804, 'e4:12:1d:74:76:bb': 0.015822784810126583, '9c:d9:17:b3:86:fa': 0.00028768699654775604, 'cc:c3:ea:18:0e:64': 0.013521288837744535, '68:05:ca:09:c8:86': 0.0017261219792865361, '00:1b:21:7f:6c:fd': 0.2672612197928654, 'cc:c3:ea:da:ef:e3': 0.009205983889528193, 'e8:91:20:0e:ce:29': 0.0011507479861910242, '78:3a:84:0b:18:f7': 0.012658227848101266, '90:68:c3:d9:ce:04': 0.0011507479861910242, 'b0:79:94:db:48:99': 0.0008630609896432681, 'a4:70:d6:02:85:61': 0.011219792865362486, '80:6c:1b:9a:09:3a': 0.0005753739930955121, 'e0:75:7d:66:be:8e': 0.0017261219792865361, '8c:3a:e3:12:70:82': 0.00028768699654775604, '74:e2:f5:bb:3a:90': 0.0008630609896432681, '80:6c:1b:9b:5a:ca': 0.005466052934407365, 'b4:62:93:90:b5:80': 0.00028768699654775604, 'e4:40:e2:c1:be:ff': 0.0017261219792865361, '68:a8:6d:78:d0:be': 0.005753739930955121, 'a0:82:1f:b5:bd:44': 0.0005753739930955121, '9c:d9:17:db:0d:a5': 0.010644418872266973, 'f8:e0:79:59:2e:cf': 0.0005753739930955121, 'd0:51:62:77:d2:59': 0.00028768699654775604, '78:f7:be:98:d6:ff': 0.00028768699654775604, 'e8:50:8b:1b:05:4d': 0.0034522439585730723, '84:55:a5:9b:4e:da': 0.00028768699654775604, '74:e2:8c:02:2a:78': 0.005466052934407365, '8c:3a:e3:10:18:a7': 0.0037399309551208286, '84:8e:df:82:28:a1': 0.0011507479861910242, 'a4:70:d6:03:0a:81': 0.0023014959723820483, '3c:15:c2:bf:05:80': 0.01237054085155351, '1c:56:fe:47:b6:b8': 0.0014384349827387803, '88:9b:39:26:4f:ed': 0.0031645569620253164, 'f0:27:65:1a:89:ec': 0.0005753739930955121, '60:be:b5:42:a3:0b': 0.02531645569620253, 'ac:f7:f3:5c:64:b9': 0.020713463751438434, 'e8:91:20:b6:8c:2a': 0.002589182968929804, 'e4:90:7e:bd:ae:29': 0.014959723820483314, '44:a4:2d:14:b4:e4': 0.0014384349827387803, '64:6c:b2:18:0e:ad': 0.0011507479861910242, '24:db:ed:40:39:8f': 0.0017261219792865361, '44:74:6c:d9:11:e8': 0.0008630609896432681, '98:f1:70:57:7b:c0': 0.006616800920598389, 'b8:c7:5d:91:bc:19': 0.010356731875719217, 'f8:cf:c5:87:e8:15': 0.014384349827387802, '80:9b:20:0a:3e:1c': 0.019850402761795168, 'e8:39:df:d8:e5:68': 0.0014384349827387803, 'b8:98:f7:58:84:e2': 0.00028768699654775604, 'ac:22:0b:4a:a5:3c': 0.006329113924050633, '38:59:f9:02:c3:bc': 0.007479861910241657, '40:78:6a:f2:4a:28': 0.0005753739930955121, '44:a4:2d:01:cd:7f': 0.00028768699654775604, '30:c7:ae:aa:78:2e': 0.0008630609896432681, 'e4:90:7e:e4:b4:2e': 0.0017261219792865361, 'e4:40:e2:6d:74:5a': 0.0028768699654775605, 'e4:90:7e:4d:e0:5d': 0.006904487917146145, 'ac:cf:5c:91:a9:a1': 0.0023014959723820483, '08:3e:8e:85:89:db': 0.004027617951668585, 'f8:e0:79:56:08:a7': 0.00028768699654775604}</t>
  </si>
  <si>
    <t>3.88400670894</t>
  </si>
  <si>
    <t>{'f8:f1:b6:cd:19:be': ['10.2.203.97'], '8c:64:22:e5:0b:36': ['0.0.0.0', '10.2.200.194'], 'cc:c3:ea:45:73:df': ['10.2.202.81'], '98:0c:82:d2:aa:f7': ['10.2.200.124'], 'f8:cf:c5:87:e8:15': ['10.2.203.28'], '34:4d:f7:15:46:d3': ['10.2.202.69', '10.2.202.192'], '74:e2:8c:02:2a:78': ['169.254.165.116', '0.0.0.0'], 'cc:c3:ea:d8:29:95': ['10.2.200.171'], '34:bb:26:e6:b0:2b': ['10.2.203.12'], '24:4b:81:fa:ac:72': ['10.2.200.207'], '00:22:6b:5e:82:b3': ['192.168.1.1'], 'e0:f8:47:44:d6:e2': ['10.2.201.243'], 'cc:c3:ea:da:ef:e3': ['10.2.201.156'], '0c:3e:9f:0f:34:d2': ['10.2.202.11'], 'ff:ff:ff:ff:ff:ff': ['10.2.203.254', '10.0.0.241', '10.0.0.253', '10.2.7.254', '10.2.200.194', '169.254.255.255', '10.2.201.224', '169.254.165.116', '10.2.202.249', '10.2.202.175'], 'f8:d0:bd:ba:c4:38': ['10.2.203.83'], 'f8:e0:79:ad:52:67': ['10.2.202.255'], 'e4:90:7e:4c:1a:7a': ['10.2.202.37'], 'e4:12:1d:74:76:bb': ['10.2.203.9'], '80:6c:1b:c8:ee:95': ['10.2.201.138'], 'cc:fa:00:ed:93:b9': ['10.2.200.219'], '9c:d9:17:b3:86:fa': ['10.2.201.46'], 'cc:c3:ea:18:0e:64': ['10.2.7.55'], '68:05:ca:09:c8:86': ['10.255.255.254'], '00:1b:21:7f:6c:fd': ['10.2.0.254', '10.2.7.254', '10.2.203.254'], '88:9b:39:26:4f:ed': ['10.2.202.237'], 'e8:91:20:0e:ce:29': ['10.2.203.43'], '78:3a:84:0b:18:f7': ['10.2.202.53'], '90:68:c3:d9:ce:04': ['10.2.201.255'], '44:a4:2d:14:b4:e4': ['10.2.201.168'], 'a4:70:d6:02:85:61': ['10.2.202.124'], '80:6c:1b:9a:09:3a': ['10.2.203.102'], 'e0:75:7d:66:be:8e': ['10.2.200.154'], '8c:3a:e3:12:70:82': ['10.2.201.151'], '74:e2:f5:bb:3a:90': ['10.2.201.28'], 'ac:22:0b:4a:a5:3c': ['10.2.200.125'], '80:6c:1b:9b:5a:ca': ['10.2.200.101'], 'b4:62:93:90:b5:80': ['10.2.203.150'], 'e4:40:e2:c1:be:ff': ['10.2.200.252'], '68:a8:6d:78:d0:be': ['10.2.203.115'], 'a0:82:1f:b5:bd:44': ['10.2.203.174'], 'f8:e0:79:59:2e:cf': ['10.2.200.142'], 'd0:51:62:77:d2:59': ['10.52.115.121'], '78:f7:be:98:d6:ff': ['10.2.201.9'], 'e8:50:8b:1b:05:4d': ['10.2.201.92'], 'e8:39:df:d8:e5:68': ['10.2.202.171'], '8c:3a:e3:10:18:a7': ['10.2.202.60'], '28:ba:b5:f9:01:96': ['10.2.201.159'], 'b8:98:f7:58:84:e2': ['10.2.200.144'], '84:55:a5:9b:4e:da': ['10.2.202.216'], '84:8e:df:82:28:a1': ['10.2.202.175'], 'a4:70:d6:03:0a:81': ['10.2.200.239'], '3c:15:c2:bf:05:80': ['10.2.201.224'], '1c:56:fe:47:b6:b8': ['10.2.200.193'], '48:59:29:b4:97:b3': ['10.2.200.9'], 'f0:27:65:1a:89:ec': ['10.2.203.119'], '60:be:b5:42:a3:0b': ['10.2.202.228'], 'ac:f7:f3:5c:64:b9': ['10.2.203.104'], 'e8:91:20:b6:8c:2a': ['10.2.203.112'], 'e4:90:7e:bd:ae:29': ['10.2.202.204'], 'b0:79:94:db:48:99': ['10.2.203.44'], '64:6c:b2:18:0e:ad': ['10.2.202.157'], '24:db:ed:40:39:8f': ['10.2.203.111'], '44:74:6c:d9:11:e8': ['10.2.202.249'], '98:f1:70:57:7b:c0': ['10.2.202.194'], '64:6c:b2:a6:4a:42': ['10.2.201.225'], 'b8:c7:5d:91:bc:19': ['10.200.1.237', '10.2.203.118', '192.168.1.106'], '38:59:f9:02:c3:bc': ['10.2.200.213'], '80:9b:20:0a:3e:1c': ['10.2.202.206'], '08:3e:8e:85:89:db': ['10.2.201.206'], 'f8:e0:79:56:08:a7': ['10.2.200.102'], '9c:d9:17:db:0d:a5': ['10.2.201.221'], '40:78:6a:f2:4a:28': ['10.2.202.154'], '44:a4:2d:01:cd:7f': ['10.2.200.148'], '30:c7:ae:aa:78:2e': ['10.2.200.110'], 'e4:90:7e:e4:b4:2e': ['10.2.200.85'], 'e4:40:e2:6d:74:5a': ['10.2.202.207'], 'ac:cf:5c:91:a9:a1': ['10.2.202.102'], 'e4:90:7e:4d:e0:5d': ['10.2.202.136']}</t>
  </si>
  <si>
    <t>{'10.2.200.219': 1, '10.2.200.252': 2, '10.2.202.37': 1, '10.2.200.213': 13, '10.2.200.194': 1, '10.2.203.12': 14, '10.2.201.138': 5, '10.2.202.53': 23, '10.2.202.69': 482, '10.2.7.55': 25, '10.2.202.124': 17, '10.2.203.9': 28, '10.2.200.125': 2, '10.2.200.171': 60, '10.2.202.194': 12, '10.2.200.154': 3, '10.2.202.204': 22, '10.2.202.206': 7, '10.2.200.193': 3, '10.200.1.237': 6, '10.2.203.104': 21, '10.2.202.228': 40, '10.2.202.249': 2, '10.2.202.102': 1, '10.2.203.83': 7, '10.2.202.136': 12, '10.2.201.206': 7, '192.168.1.106': 3, '10.2.202.60': 5, '10.2.200.85': 1, '10.2.201.92': 6, '10.2.203.28': 25, '10.2.201.225': 3, '10.2.202.157': 2, '10.2.201.243': 3, '10.2.200.124': 5, '10.2.201.168': 3, '0.0.0.0': 18, '10.2.202.175': 3, '10.2.200.101': 9, '10.2.203.174': 1, '10.2.200.144': 1, '10.2.203.119': 1, '10.2.203.115': 1, '10.2.203.111': 1, '10.2.202.192': 5, '169.254.165.116': 3, '10.2.201.255': 2, '10.2.202.255': 16, '10.2.203.118': 2, '10.2.203.97': 2, '10.2.202.154': 1}</t>
  </si>
  <si>
    <t>{'10.2.203.254': 392, '10.0.0.241': 243, '10.0.0.253': 236, '10.2.7.254': 25, '10.2.200.194': 3, '169.254.255.255': 1, '10.2.201.224': 6, '10.2.202.175': 3, '192.168.1.1': 3, '169.254.165.116': 19, '10.2.202.249': 2, '10.255.255.254': 6}</t>
  </si>
  <si>
    <t>{'10.2.0.254': 3, '10.2.7.254': 22, '10.2.201.224': 43, '10.2.203.254': 731}</t>
  </si>
  <si>
    <t>{'10.2.202.11': 5, '10.2.200.219': 1, '10.2.200.252': 4, '10.2.201.159': 8, '10.2.201.156': 32, '10.2.200.213': 13, '10.2.201.151': 1, '10.2.203.12': 21, '10.2.201.138': 4, '10.2.200.142': 2, '10.2.202.53': 21, '10.2.202.69': 6, '10.2.203.104': 51, '10.2.200.124': 8, '10.2.7.55': 22, '10.2.202.124': 22, '10.2.203.9': 27, '10.2.200.110': 3, '10.2.200.171': 63, '10.2.201.28': 3, '10.2.202.194': 11, '10.2.200.154': 3, '10.2.202.204': 30, '10.2.202.207': 10, '10.2.202.206': 62, '10.2.200.193': 2, '10.2.201.9': 1, '10.2.203.102': 2, '10.2.202.228': 48, '10.2.202.249': 1, '10.2.202.102': 7, '10.2.202.37': 1, '10.2.202.175': 1, '10.2.203.83': 7, '10.2.201.46': 1, '10.2.201.206': 7, '10.2.203.43': 4, '10.2.202.237': 11, '10.2.200.207': 5, '10.2.203.44': 3, '10.2.203.150': 1, '10.2.202.60': 8, '10.2.201.221': 37, '10.2.201.92': 6, '10.2.203.28': 25, '10.2.201.225': 6, '10.2.202.157': 2, '10.2.202.136': 12, '10.2.201.243': 2, '10.2.202.171': 5, '10.2.201.168': 2, '10.52.115.121': 1, '10.2.202.81': 2, '10.2.200.101': 10, '10.2.203.174': 1, '10.2.200.148': 1, '10.2.200.85': 5, '10.2.202.216': 1, '10.2.200.194': 1, '10.2.200.9': 1, '10.2.203.119': 1, '10.2.203.115': 19, '10.2.200.125': 20, '10.2.203.111': 5, '10.2.203.112': 9, '10.2.202.192': 6, '10.2.200.239': 8, '10.2.200.102': 1, '10.2.201.255': 2, '10.2.202.255': 28, '10.2.203.118': 25, '10.2.203.97': 11, '10.2.202.154': 1}</t>
  </si>
  <si>
    <t>Red: AulasDC</t>
  </si>
  <si>
    <t>10.2.200.252:</t>
  </si>
  <si>
    <t>10.2.200.213:</t>
  </si>
  <si>
    <t>10.2.200.194:</t>
  </si>
  <si>
    <t>10.2.203.12:</t>
  </si>
  <si>
    <t>10.2.201.138:</t>
  </si>
  <si>
    <t>10.2.202.53:</t>
  </si>
  <si>
    <t>10.2.202.69:</t>
  </si>
  <si>
    <t>10.2.7.55:</t>
  </si>
  <si>
    <t>10.2.202.124:</t>
  </si>
  <si>
    <t>10.2.203.9:</t>
  </si>
  <si>
    <t>10.2.200.125:</t>
  </si>
  <si>
    <t>10.2.200.171:</t>
  </si>
  <si>
    <t>10.2.202.194:</t>
  </si>
  <si>
    <t>10.2.200.154:</t>
  </si>
  <si>
    <t>10.2.202.204:</t>
  </si>
  <si>
    <t>10.2.202.206:</t>
  </si>
  <si>
    <t>10.2.203.104:</t>
  </si>
  <si>
    <t>10.2.202.228:</t>
  </si>
  <si>
    <t>10.2.202.249:</t>
  </si>
  <si>
    <t>10.2.202.102:</t>
  </si>
  <si>
    <t>10.2.203.83:</t>
  </si>
  <si>
    <t>10.2.202.136:</t>
  </si>
  <si>
    <t>10.2.201.206:</t>
  </si>
  <si>
    <t>10.2.200.85:</t>
  </si>
  <si>
    <t>10.2.201.92:</t>
  </si>
  <si>
    <t>10.2.203.28:</t>
  </si>
  <si>
    <t>10.2.201.225:</t>
  </si>
  <si>
    <t>10.2.202.157:</t>
  </si>
  <si>
    <t>10.2.201.243:</t>
  </si>
  <si>
    <t>10.2.200.124:</t>
  </si>
  <si>
    <t>10.2.201.168:</t>
  </si>
  <si>
    <t>10.2.202.175:</t>
  </si>
  <si>
    <t>10.2.200.101:</t>
  </si>
  <si>
    <t>10.2.203.174:</t>
  </si>
  <si>
    <t>10.2.203.119:</t>
  </si>
  <si>
    <t>10.2.203.115:</t>
  </si>
  <si>
    <t>10.2.203.111:</t>
  </si>
  <si>
    <t>10.2.202.192:</t>
  </si>
  <si>
    <t>10.2.201.255:</t>
  </si>
  <si>
    <t>10.2.202.255:</t>
  </si>
  <si>
    <t>10.2.203.118:</t>
  </si>
  <si>
    <t>10.2.203.97:</t>
  </si>
  <si>
    <t>10.2.202.154:</t>
  </si>
  <si>
    <t>1}</t>
  </si>
  <si>
    <t>{'10.2.202.11':</t>
  </si>
  <si>
    <t>10.2.200.219:</t>
  </si>
  <si>
    <t>10.2.201.159:</t>
  </si>
  <si>
    <t>10.2.201.151:</t>
  </si>
  <si>
    <t>10.2.200.142:</t>
  </si>
  <si>
    <t>10.2.200.110:</t>
  </si>
  <si>
    <t>10.2.201.28:</t>
  </si>
  <si>
    <t>10.2.202.207:</t>
  </si>
  <si>
    <t>10.2.201.9:</t>
  </si>
  <si>
    <t>10.2.203.102:</t>
  </si>
  <si>
    <t>10.2.201.46:</t>
  </si>
  <si>
    <t>10.2.203.43:</t>
  </si>
  <si>
    <t>10.2.202.237:</t>
  </si>
  <si>
    <t>10.2.200.207:</t>
  </si>
  <si>
    <t>10.2.203.44:</t>
  </si>
  <si>
    <t>10.2.203.150:</t>
  </si>
  <si>
    <t>10.2.202.60:</t>
  </si>
  <si>
    <t>10.2.201.221:</t>
  </si>
  <si>
    <t>10.2.202.171:</t>
  </si>
  <si>
    <t>10.52.115.121:</t>
  </si>
  <si>
    <t>10.2.202.81:</t>
  </si>
  <si>
    <t>10.2.200.148:</t>
  </si>
  <si>
    <t>10.2.202.216:</t>
  </si>
  <si>
    <t>10.2.200.9:</t>
  </si>
  <si>
    <t>10.2.203.112:</t>
  </si>
  <si>
    <t>10.2.200.102:</t>
  </si>
  <si>
    <t>10.2.202.11':</t>
  </si>
  <si>
    <t>10.2.202.69</t>
  </si>
  <si>
    <t>10.2.200.171</t>
  </si>
  <si>
    <t>10.2.202.228</t>
  </si>
  <si>
    <t>10.2.203.28</t>
  </si>
  <si>
    <t>10.2.202.53</t>
  </si>
  <si>
    <t>10.2.202.204</t>
  </si>
  <si>
    <t>10.2.203.104</t>
  </si>
  <si>
    <t>10.2.202.124</t>
  </si>
  <si>
    <t>10.2.202.255</t>
  </si>
  <si>
    <t>10.2.202.136</t>
  </si>
  <si>
    <t>10.2.200.101</t>
  </si>
  <si>
    <t>10.2.202.206</t>
  </si>
  <si>
    <t>10.2.203.83</t>
  </si>
  <si>
    <t>10.2.201.206</t>
  </si>
  <si>
    <t>10.2.201.92</t>
  </si>
  <si>
    <t>10.200.1.237</t>
  </si>
  <si>
    <t>10.2.202.60'</t>
  </si>
  <si>
    <t>10.2.200.124</t>
  </si>
  <si>
    <t>10.2.202.192</t>
  </si>
  <si>
    <t>10.2.201.225</t>
  </si>
  <si>
    <t>10.2.201.243</t>
  </si>
  <si>
    <t>10.2.201.168</t>
  </si>
  <si>
    <t>10.2.200.154</t>
  </si>
  <si>
    <t>169.254.165.116</t>
  </si>
  <si>
    <t>192.168.1.106</t>
  </si>
  <si>
    <t>10.2.200.252</t>
  </si>
  <si>
    <t>10.2.202.157</t>
  </si>
  <si>
    <t>10.2.200.125</t>
  </si>
  <si>
    <t>10.2.203.97</t>
  </si>
  <si>
    <t>10.2.200.219'</t>
  </si>
  <si>
    <t>10.2.200.144</t>
  </si>
  <si>
    <t>10.2.203.119</t>
  </si>
  <si>
    <t>10.2.203.115</t>
  </si>
  <si>
    <t>10.2.203.111</t>
  </si>
  <si>
    <t>10.2.202.154</t>
  </si>
  <si>
    <t>10.2.203.254'</t>
  </si>
  <si>
    <t>10.0.0.241</t>
  </si>
  <si>
    <t>10.0.0.253</t>
  </si>
  <si>
    <t>10.2.201.224</t>
  </si>
  <si>
    <t>10.255.255.254</t>
  </si>
  <si>
    <t>192.168.1.1</t>
  </si>
  <si>
    <t>169.254.255.255</t>
  </si>
  <si>
    <t>10.2.0.254'</t>
  </si>
  <si>
    <t>10.2.201.221</t>
  </si>
  <si>
    <t>10.2.202.207</t>
  </si>
  <si>
    <t>10.2.203.112</t>
  </si>
  <si>
    <t>10.2.202.60</t>
  </si>
  <si>
    <t>10.2.202.11'</t>
  </si>
  <si>
    <t>10.2.200.207</t>
  </si>
  <si>
    <t>10.2.200.110</t>
  </si>
  <si>
    <t>10.2.201.28</t>
  </si>
  <si>
    <t>10.2.203.44</t>
  </si>
  <si>
    <t>10.2.200.142</t>
  </si>
  <si>
    <t>10.2.203.102</t>
  </si>
  <si>
    <t>10.2.201.151</t>
  </si>
  <si>
    <t>10.2.201.9</t>
  </si>
  <si>
    <t>10.2.201.46</t>
  </si>
  <si>
    <t>10.2.203.150</t>
  </si>
  <si>
    <t>10.52.115.121</t>
  </si>
  <si>
    <t>10.2.200.148</t>
  </si>
  <si>
    <t>10.2.202.216</t>
  </si>
  <si>
    <t>10.2.200.9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</si>
</sst>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10" fontId="1" fillId="0" borderId="1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0" fillId="0" borderId="0" xfId="0" applyNumberFormat="1"/>
    <xf numFmtId="49" fontId="3" fillId="2" borderId="0" xfId="0" applyNumberFormat="1" applyFont="1" applyFill="1"/>
    <xf numFmtId="49" fontId="0" fillId="0" borderId="0" xfId="0" quotePrefix="1" applyNumberFormat="1"/>
    <xf numFmtId="49" fontId="4" fillId="2" borderId="0" xfId="0" applyNumberFormat="1" applyFont="1" applyFill="1"/>
    <xf numFmtId="3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2" fontId="0" fillId="0" borderId="0" xfId="0" applyNumberFormat="1"/>
    <xf numFmtId="10" fontId="0" fillId="0" borderId="0" xfId="1" applyNumberFormat="1" applyFont="1"/>
    <xf numFmtId="0" fontId="0" fillId="0" borderId="0" xfId="0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Probabilidad Fuente S  - Protocolos Distinguidos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'Probabilidad Fuente S'!$B$3</c:f>
              <c:strCache>
                <c:ptCount val="1"/>
                <c:pt idx="0">
                  <c:v>Probabilidad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5.0790135608048993E-2"/>
                  <c:y val="-0.21194444444444444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4.0748578302712161E-2"/>
                  <c:y val="1.00065616797900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5682928696412954"/>
                  <c:y val="1.371573344998541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'Probabilidad Fuente S'!$A$4:$A$6</c:f>
              <c:strCache>
                <c:ptCount val="3"/>
                <c:pt idx="0">
                  <c:v>IPv4 (2048)</c:v>
                </c:pt>
                <c:pt idx="1">
                  <c:v>IPv6 (34525)</c:v>
                </c:pt>
                <c:pt idx="2">
                  <c:v>ARP (2054)</c:v>
                </c:pt>
              </c:strCache>
            </c:strRef>
          </c:cat>
          <c:val>
            <c:numRef>
              <c:f>'Probabilidad Fuente S'!$B$4:$B$6</c:f>
              <c:numCache>
                <c:formatCode>0.00%</c:formatCode>
                <c:ptCount val="3"/>
                <c:pt idx="0">
                  <c:v>0.99152696065985202</c:v>
                </c:pt>
                <c:pt idx="1">
                  <c:v>2.1690400365617399E-3</c:v>
                </c:pt>
                <c:pt idx="2">
                  <c:v>6.3039993035858E-3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Paquetes ARP (WHO-HAS) por Host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0496144407355286"/>
          <c:y val="0.1784793373696274"/>
          <c:w val="0.86590989272574315"/>
          <c:h val="0.591415911718559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Paquetes'!$Q$3</c:f>
              <c:strCache>
                <c:ptCount val="1"/>
                <c:pt idx="0">
                  <c:v>Source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'Graficos Paquetes'!$N$4:$N$30</c:f>
              <c:strCache>
                <c:ptCount val="27"/>
                <c:pt idx="0">
                  <c:v>10.2.203.254'</c:v>
                </c:pt>
                <c:pt idx="1">
                  <c:v>10.0.0.241</c:v>
                </c:pt>
                <c:pt idx="2">
                  <c:v>10.0.0.253</c:v>
                </c:pt>
                <c:pt idx="3">
                  <c:v>10.2.7.254</c:v>
                </c:pt>
                <c:pt idx="4">
                  <c:v>169.254.165.116</c:v>
                </c:pt>
                <c:pt idx="5">
                  <c:v>10.2.201.224</c:v>
                </c:pt>
                <c:pt idx="6">
                  <c:v>10.255.255.254</c:v>
                </c:pt>
                <c:pt idx="7">
                  <c:v>10.2.202.175</c:v>
                </c:pt>
                <c:pt idx="8">
                  <c:v>10.2.200.194</c:v>
                </c:pt>
                <c:pt idx="9">
                  <c:v>192.168.1.1</c:v>
                </c:pt>
                <c:pt idx="10">
                  <c:v>10.2.202.249</c:v>
                </c:pt>
                <c:pt idx="11">
                  <c:v>10.2.202.69</c:v>
                </c:pt>
                <c:pt idx="12">
                  <c:v>10.2.200.171</c:v>
                </c:pt>
                <c:pt idx="13">
                  <c:v>10.2.202.228</c:v>
                </c:pt>
                <c:pt idx="14">
                  <c:v>10.2.203.9</c:v>
                </c:pt>
                <c:pt idx="15">
                  <c:v>10.2.203.28</c:v>
                </c:pt>
                <c:pt idx="16">
                  <c:v>10.2.7.55</c:v>
                </c:pt>
                <c:pt idx="17">
                  <c:v>10.2.202.53</c:v>
                </c:pt>
                <c:pt idx="18">
                  <c:v>10.2.202.204</c:v>
                </c:pt>
                <c:pt idx="19">
                  <c:v>10.2.203.104</c:v>
                </c:pt>
                <c:pt idx="20">
                  <c:v>0.0.0.0</c:v>
                </c:pt>
                <c:pt idx="21">
                  <c:v>10.2.202.124</c:v>
                </c:pt>
                <c:pt idx="22">
                  <c:v>10.2.202.255</c:v>
                </c:pt>
                <c:pt idx="23">
                  <c:v>10.2.203.12</c:v>
                </c:pt>
                <c:pt idx="24">
                  <c:v>10.2.200.213</c:v>
                </c:pt>
                <c:pt idx="25">
                  <c:v>10.2.202.194</c:v>
                </c:pt>
                <c:pt idx="26">
                  <c:v>10.2.202.136</c:v>
                </c:pt>
              </c:strCache>
            </c:strRef>
          </c:cat>
          <c:val>
            <c:numRef>
              <c:f>'Graficos Paquetes'!$Q$4:$Q$30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0.47712125471966244</c:v>
                </c:pt>
                <c:pt idx="5">
                  <c:v>0</c:v>
                </c:pt>
                <c:pt idx="6">
                  <c:v>0</c:v>
                </c:pt>
                <c:pt idx="7">
                  <c:v>0.47712125471966244</c:v>
                </c:pt>
                <c:pt idx="8">
                  <c:v>0</c:v>
                </c:pt>
                <c:pt idx="9">
                  <c:v>0</c:v>
                </c:pt>
                <c:pt idx="10">
                  <c:v>0.3010299956639812</c:v>
                </c:pt>
                <c:pt idx="11">
                  <c:v>2.6830470382388496</c:v>
                </c:pt>
                <c:pt idx="12">
                  <c:v>1.7781512503836436</c:v>
                </c:pt>
                <c:pt idx="13">
                  <c:v>1.6020599913279623</c:v>
                </c:pt>
                <c:pt idx="14">
                  <c:v>1.4471580313422192</c:v>
                </c:pt>
                <c:pt idx="15">
                  <c:v>1.3979400086720377</c:v>
                </c:pt>
                <c:pt idx="16">
                  <c:v>1.3979400086720377</c:v>
                </c:pt>
                <c:pt idx="17">
                  <c:v>1.3617278360175928</c:v>
                </c:pt>
                <c:pt idx="18">
                  <c:v>1.3424226808222062</c:v>
                </c:pt>
                <c:pt idx="19">
                  <c:v>1.3222192947339193</c:v>
                </c:pt>
                <c:pt idx="20">
                  <c:v>1.255272505103306</c:v>
                </c:pt>
                <c:pt idx="21">
                  <c:v>1.2304489213782739</c:v>
                </c:pt>
                <c:pt idx="22">
                  <c:v>1.2041199826559248</c:v>
                </c:pt>
                <c:pt idx="23">
                  <c:v>1.146128035678238</c:v>
                </c:pt>
                <c:pt idx="24">
                  <c:v>1.1139433523068367</c:v>
                </c:pt>
                <c:pt idx="25">
                  <c:v>1.0791812460476249</c:v>
                </c:pt>
                <c:pt idx="26">
                  <c:v>1.0791812460476249</c:v>
                </c:pt>
              </c:numCache>
            </c:numRef>
          </c:val>
        </c:ser>
        <c:ser>
          <c:idx val="1"/>
          <c:order val="1"/>
          <c:tx>
            <c:strRef>
              <c:f>'Graficos Paquetes'!$R$3</c:f>
              <c:strCache>
                <c:ptCount val="1"/>
                <c:pt idx="0">
                  <c:v>Destination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'Graficos Paquetes'!$N$4:$N$30</c:f>
              <c:strCache>
                <c:ptCount val="27"/>
                <c:pt idx="0">
                  <c:v>10.2.203.254'</c:v>
                </c:pt>
                <c:pt idx="1">
                  <c:v>10.0.0.241</c:v>
                </c:pt>
                <c:pt idx="2">
                  <c:v>10.0.0.253</c:v>
                </c:pt>
                <c:pt idx="3">
                  <c:v>10.2.7.254</c:v>
                </c:pt>
                <c:pt idx="4">
                  <c:v>169.254.165.116</c:v>
                </c:pt>
                <c:pt idx="5">
                  <c:v>10.2.201.224</c:v>
                </c:pt>
                <c:pt idx="6">
                  <c:v>10.255.255.254</c:v>
                </c:pt>
                <c:pt idx="7">
                  <c:v>10.2.202.175</c:v>
                </c:pt>
                <c:pt idx="8">
                  <c:v>10.2.200.194</c:v>
                </c:pt>
                <c:pt idx="9">
                  <c:v>192.168.1.1</c:v>
                </c:pt>
                <c:pt idx="10">
                  <c:v>10.2.202.249</c:v>
                </c:pt>
                <c:pt idx="11">
                  <c:v>10.2.202.69</c:v>
                </c:pt>
                <c:pt idx="12">
                  <c:v>10.2.200.171</c:v>
                </c:pt>
                <c:pt idx="13">
                  <c:v>10.2.202.228</c:v>
                </c:pt>
                <c:pt idx="14">
                  <c:v>10.2.203.9</c:v>
                </c:pt>
                <c:pt idx="15">
                  <c:v>10.2.203.28</c:v>
                </c:pt>
                <c:pt idx="16">
                  <c:v>10.2.7.55</c:v>
                </c:pt>
                <c:pt idx="17">
                  <c:v>10.2.202.53</c:v>
                </c:pt>
                <c:pt idx="18">
                  <c:v>10.2.202.204</c:v>
                </c:pt>
                <c:pt idx="19">
                  <c:v>10.2.203.104</c:v>
                </c:pt>
                <c:pt idx="20">
                  <c:v>0.0.0.0</c:v>
                </c:pt>
                <c:pt idx="21">
                  <c:v>10.2.202.124</c:v>
                </c:pt>
                <c:pt idx="22">
                  <c:v>10.2.202.255</c:v>
                </c:pt>
                <c:pt idx="23">
                  <c:v>10.2.203.12</c:v>
                </c:pt>
                <c:pt idx="24">
                  <c:v>10.2.200.213</c:v>
                </c:pt>
                <c:pt idx="25">
                  <c:v>10.2.202.194</c:v>
                </c:pt>
                <c:pt idx="26">
                  <c:v>10.2.202.136</c:v>
                </c:pt>
              </c:strCache>
            </c:strRef>
          </c:cat>
          <c:val>
            <c:numRef>
              <c:f>'Graficos Paquetes'!$R$4:$R$30</c:f>
              <c:numCache>
                <c:formatCode>0.00</c:formatCode>
                <c:ptCount val="27"/>
                <c:pt idx="0">
                  <c:v>2.5932860670204572</c:v>
                </c:pt>
                <c:pt idx="1">
                  <c:v>2.3856062735983121</c:v>
                </c:pt>
                <c:pt idx="2">
                  <c:v>2.3729120029701067</c:v>
                </c:pt>
                <c:pt idx="3">
                  <c:v>1.3979400086720377</c:v>
                </c:pt>
                <c:pt idx="4">
                  <c:v>1.2787536009528289</c:v>
                </c:pt>
                <c:pt idx="5">
                  <c:v>0.77815125038364363</c:v>
                </c:pt>
                <c:pt idx="6">
                  <c:v>0.77815125038364363</c:v>
                </c:pt>
                <c:pt idx="7">
                  <c:v>0.47712125471966244</c:v>
                </c:pt>
                <c:pt idx="8">
                  <c:v>0.47712125471966244</c:v>
                </c:pt>
                <c:pt idx="9">
                  <c:v>0.47712125471966244</c:v>
                </c:pt>
                <c:pt idx="10">
                  <c:v>0.3010299956639812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5654544"/>
        <c:axId val="255654936"/>
      </c:barChart>
      <c:catAx>
        <c:axId val="255654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Host (IP)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55654936"/>
        <c:crosses val="autoZero"/>
        <c:auto val="1"/>
        <c:lblAlgn val="ctr"/>
        <c:lblOffset val="100"/>
        <c:noMultiLvlLbl val="0"/>
      </c:catAx>
      <c:valAx>
        <c:axId val="255654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Cantidad de Paquetes (escala log)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5565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Paquetes ARP (IS-AT) por Host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0496144407355286"/>
          <c:y val="0.1784793373696274"/>
          <c:w val="0.86590989272574315"/>
          <c:h val="0.591415911718559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Paquetes'!$X$3</c:f>
              <c:strCache>
                <c:ptCount val="1"/>
                <c:pt idx="0">
                  <c:v>Source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'Graficos Paquetes'!$U$4:$U$36</c:f>
              <c:strCache>
                <c:ptCount val="33"/>
                <c:pt idx="0">
                  <c:v>10.2.200.171</c:v>
                </c:pt>
                <c:pt idx="1">
                  <c:v>10.2.202.206</c:v>
                </c:pt>
                <c:pt idx="2">
                  <c:v>10.2.203.104</c:v>
                </c:pt>
                <c:pt idx="3">
                  <c:v>10.2.202.228</c:v>
                </c:pt>
                <c:pt idx="4">
                  <c:v>10.2.201.221</c:v>
                </c:pt>
                <c:pt idx="5">
                  <c:v>10.2.201.156</c:v>
                </c:pt>
                <c:pt idx="6">
                  <c:v>10.2.202.204</c:v>
                </c:pt>
                <c:pt idx="7">
                  <c:v>10.2.202.255</c:v>
                </c:pt>
                <c:pt idx="8">
                  <c:v>10.2.203.9</c:v>
                </c:pt>
                <c:pt idx="9">
                  <c:v>10.2.203.28</c:v>
                </c:pt>
                <c:pt idx="10">
                  <c:v>10.2.203.118</c:v>
                </c:pt>
                <c:pt idx="11">
                  <c:v>10.2.7.55</c:v>
                </c:pt>
                <c:pt idx="12">
                  <c:v>10.2.202.124</c:v>
                </c:pt>
                <c:pt idx="13">
                  <c:v>10.2.203.12</c:v>
                </c:pt>
                <c:pt idx="14">
                  <c:v>10.2.202.53</c:v>
                </c:pt>
                <c:pt idx="15">
                  <c:v>10.2.200.125</c:v>
                </c:pt>
                <c:pt idx="16">
                  <c:v>10.2.203.115</c:v>
                </c:pt>
                <c:pt idx="17">
                  <c:v>10.2.200.213</c:v>
                </c:pt>
                <c:pt idx="18">
                  <c:v>10.2.202.136</c:v>
                </c:pt>
                <c:pt idx="19">
                  <c:v>10.2.202.194</c:v>
                </c:pt>
                <c:pt idx="20">
                  <c:v>10.2.202.237</c:v>
                </c:pt>
                <c:pt idx="21">
                  <c:v>10.2.203.97</c:v>
                </c:pt>
                <c:pt idx="22">
                  <c:v>10.2.202.207</c:v>
                </c:pt>
                <c:pt idx="23">
                  <c:v>10.2.200.101</c:v>
                </c:pt>
                <c:pt idx="24">
                  <c:v>10.2.203.112</c:v>
                </c:pt>
                <c:pt idx="25">
                  <c:v>10.2.201.159</c:v>
                </c:pt>
                <c:pt idx="26">
                  <c:v>10.2.200.124</c:v>
                </c:pt>
                <c:pt idx="27">
                  <c:v>10.2.202.60</c:v>
                </c:pt>
                <c:pt idx="28">
                  <c:v>10.2.200.239</c:v>
                </c:pt>
                <c:pt idx="29">
                  <c:v>10.2.203.254</c:v>
                </c:pt>
                <c:pt idx="30">
                  <c:v>10.2.201.224</c:v>
                </c:pt>
                <c:pt idx="31">
                  <c:v>10.2.7.254</c:v>
                </c:pt>
                <c:pt idx="32">
                  <c:v>10.2.0.254'</c:v>
                </c:pt>
              </c:strCache>
            </c:strRef>
          </c:cat>
          <c:val>
            <c:numRef>
              <c:f>'Graficos Paquetes'!$X$4:$X$36</c:f>
              <c:numCache>
                <c:formatCode>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2.8639173769578603</c:v>
                </c:pt>
                <c:pt idx="30">
                  <c:v>1.6334684555795864</c:v>
                </c:pt>
                <c:pt idx="31">
                  <c:v>1.3424226808222062</c:v>
                </c:pt>
                <c:pt idx="32">
                  <c:v>0.47712125471966244</c:v>
                </c:pt>
              </c:numCache>
            </c:numRef>
          </c:val>
        </c:ser>
        <c:ser>
          <c:idx val="1"/>
          <c:order val="1"/>
          <c:tx>
            <c:strRef>
              <c:f>'Graficos Paquetes'!$Y$3</c:f>
              <c:strCache>
                <c:ptCount val="1"/>
                <c:pt idx="0">
                  <c:v>Destination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'Graficos Paquetes'!$U$4:$U$36</c:f>
              <c:strCache>
                <c:ptCount val="33"/>
                <c:pt idx="0">
                  <c:v>10.2.200.171</c:v>
                </c:pt>
                <c:pt idx="1">
                  <c:v>10.2.202.206</c:v>
                </c:pt>
                <c:pt idx="2">
                  <c:v>10.2.203.104</c:v>
                </c:pt>
                <c:pt idx="3">
                  <c:v>10.2.202.228</c:v>
                </c:pt>
                <c:pt idx="4">
                  <c:v>10.2.201.221</c:v>
                </c:pt>
                <c:pt idx="5">
                  <c:v>10.2.201.156</c:v>
                </c:pt>
                <c:pt idx="6">
                  <c:v>10.2.202.204</c:v>
                </c:pt>
                <c:pt idx="7">
                  <c:v>10.2.202.255</c:v>
                </c:pt>
                <c:pt idx="8">
                  <c:v>10.2.203.9</c:v>
                </c:pt>
                <c:pt idx="9">
                  <c:v>10.2.203.28</c:v>
                </c:pt>
                <c:pt idx="10">
                  <c:v>10.2.203.118</c:v>
                </c:pt>
                <c:pt idx="11">
                  <c:v>10.2.7.55</c:v>
                </c:pt>
                <c:pt idx="12">
                  <c:v>10.2.202.124</c:v>
                </c:pt>
                <c:pt idx="13">
                  <c:v>10.2.203.12</c:v>
                </c:pt>
                <c:pt idx="14">
                  <c:v>10.2.202.53</c:v>
                </c:pt>
                <c:pt idx="15">
                  <c:v>10.2.200.125</c:v>
                </c:pt>
                <c:pt idx="16">
                  <c:v>10.2.203.115</c:v>
                </c:pt>
                <c:pt idx="17">
                  <c:v>10.2.200.213</c:v>
                </c:pt>
                <c:pt idx="18">
                  <c:v>10.2.202.136</c:v>
                </c:pt>
                <c:pt idx="19">
                  <c:v>10.2.202.194</c:v>
                </c:pt>
                <c:pt idx="20">
                  <c:v>10.2.202.237</c:v>
                </c:pt>
                <c:pt idx="21">
                  <c:v>10.2.203.97</c:v>
                </c:pt>
                <c:pt idx="22">
                  <c:v>10.2.202.207</c:v>
                </c:pt>
                <c:pt idx="23">
                  <c:v>10.2.200.101</c:v>
                </c:pt>
                <c:pt idx="24">
                  <c:v>10.2.203.112</c:v>
                </c:pt>
                <c:pt idx="25">
                  <c:v>10.2.201.159</c:v>
                </c:pt>
                <c:pt idx="26">
                  <c:v>10.2.200.124</c:v>
                </c:pt>
                <c:pt idx="27">
                  <c:v>10.2.202.60</c:v>
                </c:pt>
                <c:pt idx="28">
                  <c:v>10.2.200.239</c:v>
                </c:pt>
                <c:pt idx="29">
                  <c:v>10.2.203.254</c:v>
                </c:pt>
                <c:pt idx="30">
                  <c:v>10.2.201.224</c:v>
                </c:pt>
                <c:pt idx="31">
                  <c:v>10.2.7.254</c:v>
                </c:pt>
                <c:pt idx="32">
                  <c:v>10.2.0.254'</c:v>
                </c:pt>
              </c:strCache>
            </c:strRef>
          </c:cat>
          <c:val>
            <c:numRef>
              <c:f>'Graficos Paquetes'!$Y$4:$Y$36</c:f>
              <c:numCache>
                <c:formatCode>0.00</c:formatCode>
                <c:ptCount val="33"/>
                <c:pt idx="0">
                  <c:v>1.7993405494535817</c:v>
                </c:pt>
                <c:pt idx="1">
                  <c:v>1.7923916894982539</c:v>
                </c:pt>
                <c:pt idx="2">
                  <c:v>1.7075701760979363</c:v>
                </c:pt>
                <c:pt idx="3">
                  <c:v>1.6812412373755872</c:v>
                </c:pt>
                <c:pt idx="4">
                  <c:v>1.568201724066995</c:v>
                </c:pt>
                <c:pt idx="5">
                  <c:v>1.505149978319906</c:v>
                </c:pt>
                <c:pt idx="6">
                  <c:v>1.4771212547196624</c:v>
                </c:pt>
                <c:pt idx="7">
                  <c:v>1.4471580313422192</c:v>
                </c:pt>
                <c:pt idx="8">
                  <c:v>1.4313637641589874</c:v>
                </c:pt>
                <c:pt idx="9">
                  <c:v>1.3979400086720377</c:v>
                </c:pt>
                <c:pt idx="10">
                  <c:v>1.3979400086720377</c:v>
                </c:pt>
                <c:pt idx="11">
                  <c:v>1.3424226808222062</c:v>
                </c:pt>
                <c:pt idx="12">
                  <c:v>1.3424226808222062</c:v>
                </c:pt>
                <c:pt idx="13">
                  <c:v>1.3222192947339193</c:v>
                </c:pt>
                <c:pt idx="14">
                  <c:v>1.3222192947339193</c:v>
                </c:pt>
                <c:pt idx="15">
                  <c:v>1.3010299956639813</c:v>
                </c:pt>
                <c:pt idx="16">
                  <c:v>1.2787536009528289</c:v>
                </c:pt>
                <c:pt idx="17">
                  <c:v>1.1139433523068367</c:v>
                </c:pt>
                <c:pt idx="18">
                  <c:v>1.0791812460476249</c:v>
                </c:pt>
                <c:pt idx="19">
                  <c:v>1.0413926851582251</c:v>
                </c:pt>
                <c:pt idx="20">
                  <c:v>1.0413926851582251</c:v>
                </c:pt>
                <c:pt idx="21">
                  <c:v>1.0413926851582251</c:v>
                </c:pt>
                <c:pt idx="22">
                  <c:v>1</c:v>
                </c:pt>
                <c:pt idx="23">
                  <c:v>1</c:v>
                </c:pt>
                <c:pt idx="24">
                  <c:v>0.95424250943932487</c:v>
                </c:pt>
                <c:pt idx="25">
                  <c:v>0.90308998699194354</c:v>
                </c:pt>
                <c:pt idx="26">
                  <c:v>0.90308998699194354</c:v>
                </c:pt>
                <c:pt idx="27">
                  <c:v>0.90308998699194354</c:v>
                </c:pt>
                <c:pt idx="28">
                  <c:v>0.90308998699194354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7978368"/>
        <c:axId val="257978760"/>
      </c:barChart>
      <c:catAx>
        <c:axId val="257978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Host (IP)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57978760"/>
        <c:crosses val="autoZero"/>
        <c:auto val="1"/>
        <c:lblAlgn val="ctr"/>
        <c:lblOffset val="100"/>
        <c:noMultiLvlLbl val="0"/>
      </c:catAx>
      <c:valAx>
        <c:axId val="25797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Cantidad de Paquetes (escala log)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5797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Probabilidad como Source</a:t>
            </a:r>
            <a:r>
              <a:rPr lang="es-AR" baseline="0"/>
              <a:t> para cada Host - ARP</a:t>
            </a:r>
            <a:endParaRPr lang="es-AR"/>
          </a:p>
        </c:rich>
      </c:tx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1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'Probabilidad SRC DST'!$A$4:$A$13</c:f>
              <c:strCache>
                <c:ptCount val="10"/>
                <c:pt idx="0">
                  <c:v>10.2.203.254</c:v>
                </c:pt>
                <c:pt idx="1">
                  <c:v>10.2.202.69</c:v>
                </c:pt>
                <c:pt idx="2">
                  <c:v>10.2.200.171</c:v>
                </c:pt>
                <c:pt idx="3">
                  <c:v>10.2.201.224</c:v>
                </c:pt>
                <c:pt idx="4">
                  <c:v>10.2.202.228</c:v>
                </c:pt>
                <c:pt idx="5">
                  <c:v>10.2.203.9</c:v>
                </c:pt>
                <c:pt idx="6">
                  <c:v>10.2.203.28</c:v>
                </c:pt>
                <c:pt idx="7">
                  <c:v>10.2.7.55</c:v>
                </c:pt>
                <c:pt idx="8">
                  <c:v>10.2.202.53</c:v>
                </c:pt>
                <c:pt idx="9">
                  <c:v>Otros</c:v>
                </c:pt>
              </c:strCache>
            </c:strRef>
          </c:cat>
          <c:val>
            <c:numRef>
              <c:f>'Probabilidad SRC DST'!$C$4:$C$13</c:f>
              <c:numCache>
                <c:formatCode>0.00%</c:formatCode>
                <c:ptCount val="10"/>
                <c:pt idx="0">
                  <c:v>0.42059838895281931</c:v>
                </c:pt>
                <c:pt idx="1">
                  <c:v>0.27733026467203681</c:v>
                </c:pt>
                <c:pt idx="2">
                  <c:v>3.4522439585730723E-2</c:v>
                </c:pt>
                <c:pt idx="3">
                  <c:v>2.4741081703107019E-2</c:v>
                </c:pt>
                <c:pt idx="4">
                  <c:v>2.3014959723820484E-2</c:v>
                </c:pt>
                <c:pt idx="5">
                  <c:v>1.611047180667434E-2</c:v>
                </c:pt>
                <c:pt idx="6">
                  <c:v>1.4384349827387802E-2</c:v>
                </c:pt>
                <c:pt idx="7">
                  <c:v>1.4384349827387802E-2</c:v>
                </c:pt>
                <c:pt idx="8">
                  <c:v>1.3233601841196778E-2</c:v>
                </c:pt>
                <c:pt idx="9">
                  <c:v>0.16168009205983891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Probabilidad como Destination</a:t>
            </a:r>
            <a:r>
              <a:rPr lang="es-AR" baseline="0"/>
              <a:t> para cada Host - ARP</a:t>
            </a:r>
            <a:endParaRPr lang="es-AR"/>
          </a:p>
        </c:rich>
      </c:tx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1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'Probabilidad SRC DST'!$K$4:$K$19</c:f>
              <c:strCache>
                <c:ptCount val="16"/>
                <c:pt idx="0">
                  <c:v>10.2.203.254'</c:v>
                </c:pt>
                <c:pt idx="1">
                  <c:v>10.0.0.241</c:v>
                </c:pt>
                <c:pt idx="2">
                  <c:v>10.0.0.253</c:v>
                </c:pt>
                <c:pt idx="3">
                  <c:v>10.2.200.171</c:v>
                </c:pt>
                <c:pt idx="4">
                  <c:v>10.2.202.206</c:v>
                </c:pt>
                <c:pt idx="5">
                  <c:v>10.2.203.104</c:v>
                </c:pt>
                <c:pt idx="6">
                  <c:v>10.2.202.228</c:v>
                </c:pt>
                <c:pt idx="7">
                  <c:v>10.2.201.221</c:v>
                </c:pt>
                <c:pt idx="8">
                  <c:v>10.2.201.156</c:v>
                </c:pt>
                <c:pt idx="9">
                  <c:v>10.2.202.204</c:v>
                </c:pt>
                <c:pt idx="10">
                  <c:v>10.2.202.255</c:v>
                </c:pt>
                <c:pt idx="11">
                  <c:v>10.2.203.9</c:v>
                </c:pt>
                <c:pt idx="12">
                  <c:v>10.2.7.254</c:v>
                </c:pt>
                <c:pt idx="13">
                  <c:v>10.2.203.28</c:v>
                </c:pt>
                <c:pt idx="14">
                  <c:v>10.2.203.118</c:v>
                </c:pt>
                <c:pt idx="15">
                  <c:v>Otros</c:v>
                </c:pt>
              </c:strCache>
            </c:strRef>
          </c:cat>
          <c:val>
            <c:numRef>
              <c:f>'Probabilidad SRC DST'!$M$4:$M$19</c:f>
              <c:numCache>
                <c:formatCode>0.00%</c:formatCode>
                <c:ptCount val="16"/>
                <c:pt idx="0">
                  <c:v>0.22554660529344073</c:v>
                </c:pt>
                <c:pt idx="1">
                  <c:v>0.13981588032220943</c:v>
                </c:pt>
                <c:pt idx="2">
                  <c:v>0.13578826237054084</c:v>
                </c:pt>
                <c:pt idx="3">
                  <c:v>3.6248561565017261E-2</c:v>
                </c:pt>
                <c:pt idx="4">
                  <c:v>3.5673187571921748E-2</c:v>
                </c:pt>
                <c:pt idx="5">
                  <c:v>2.9344073647871116E-2</c:v>
                </c:pt>
                <c:pt idx="6">
                  <c:v>2.7617951668584578E-2</c:v>
                </c:pt>
                <c:pt idx="7">
                  <c:v>2.1288837744533946E-2</c:v>
                </c:pt>
                <c:pt idx="8">
                  <c:v>1.8411967779056387E-2</c:v>
                </c:pt>
                <c:pt idx="9">
                  <c:v>1.7261219792865361E-2</c:v>
                </c:pt>
                <c:pt idx="10">
                  <c:v>1.611047180667434E-2</c:v>
                </c:pt>
                <c:pt idx="11">
                  <c:v>1.5535097813578827E-2</c:v>
                </c:pt>
                <c:pt idx="12">
                  <c:v>1.4384349827387802E-2</c:v>
                </c:pt>
                <c:pt idx="13">
                  <c:v>1.4384349827387802E-2</c:v>
                </c:pt>
                <c:pt idx="14">
                  <c:v>1.4384349827387802E-2</c:v>
                </c:pt>
                <c:pt idx="15">
                  <c:v>0.23820483314154201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528637</xdr:colOff>
      <xdr:row>2</xdr:row>
      <xdr:rowOff>14287</xdr:rowOff>
    </xdr:from>
    <xdr:to>
      <xdr:col>8</xdr:col>
      <xdr:colOff>528637</xdr:colOff>
      <xdr:row>16</xdr:row>
      <xdr:rowOff>90487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5</xdr:row>
          <xdr:rowOff>38100</xdr:rowOff>
        </xdr:from>
        <xdr:to>
          <xdr:col>6</xdr:col>
          <xdr:colOff>428625</xdr:colOff>
          <xdr:row>7</xdr:row>
          <xdr:rowOff>76200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605677</xdr:colOff>
      <xdr:row>31</xdr:row>
      <xdr:rowOff>149875</xdr:rowOff>
    </xdr:from>
    <xdr:to>
      <xdr:col>18</xdr:col>
      <xdr:colOff>481853</xdr:colOff>
      <xdr:row>56</xdr:row>
      <xdr:rowOff>107014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750794</xdr:colOff>
      <xdr:row>36</xdr:row>
      <xdr:rowOff>115981</xdr:rowOff>
    </xdr:from>
    <xdr:to>
      <xdr:col>30</xdr:col>
      <xdr:colOff>626970</xdr:colOff>
      <xdr:row>61</xdr:row>
      <xdr:rowOff>73120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376236</xdr:colOff>
      <xdr:row>13</xdr:row>
      <xdr:rowOff>180974</xdr:rowOff>
    </xdr:from>
    <xdr:to>
      <xdr:col>8</xdr:col>
      <xdr:colOff>457200</xdr:colOff>
      <xdr:row>37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381000</xdr:colOff>
      <xdr:row>20</xdr:row>
      <xdr:rowOff>123825</xdr:rowOff>
    </xdr:from>
    <xdr:to>
      <xdr:col>17</xdr:col>
      <xdr:colOff>461964</xdr:colOff>
      <xdr:row>44</xdr:row>
      <xdr:rowOff>104776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1874"/>
  <sheetViews>
    <sheetView workbookViewId="0">
      <selection activeCell="K20" sqref="K20"/>
    </sheetView>
  </sheetViews>
  <sheetFormatPr baseColWidth="10" defaultRowHeight="15" x14ac:dyDescent="0.25"/>
  <cols>
    <col min="1" max="1" width="27.140625" style="5" bestFit="1" customWidth="1"/>
    <col min="2" max="16384" width="11.42578125" style="5"/>
  </cols>
  <sheetData>
    <row r="1" spans="1:2" x14ac:dyDescent="0.25">
      <c r="A1" s="6" t="s">
        <v>5</v>
      </c>
    </row>
    <row r="2" spans="1:2" x14ac:dyDescent="0.25">
      <c r="A2" s="8" t="s">
        <v>212</v>
      </c>
    </row>
    <row r="6" spans="1:2" x14ac:dyDescent="0.25">
      <c r="A6" s="5" t="s">
        <v>7</v>
      </c>
      <c r="B6" s="5" t="s">
        <v>203</v>
      </c>
    </row>
    <row r="7" spans="1:2" x14ac:dyDescent="0.25">
      <c r="A7" s="5" t="s">
        <v>8</v>
      </c>
      <c r="B7" s="5" t="s">
        <v>204</v>
      </c>
    </row>
    <row r="9" spans="1:2" x14ac:dyDescent="0.25">
      <c r="A9" s="5" t="s">
        <v>6</v>
      </c>
      <c r="B9" s="5" t="s">
        <v>205</v>
      </c>
    </row>
    <row r="10" spans="1:2" x14ac:dyDescent="0.25">
      <c r="A10" s="5" t="s">
        <v>9</v>
      </c>
      <c r="B10" s="5" t="s">
        <v>206</v>
      </c>
    </row>
    <row r="12" spans="1:2" x14ac:dyDescent="0.25">
      <c r="A12" s="5" t="s">
        <v>10</v>
      </c>
      <c r="B12" s="5" t="s">
        <v>207</v>
      </c>
    </row>
    <row r="14" spans="1:2" x14ac:dyDescent="0.25">
      <c r="A14" s="5" t="s">
        <v>13</v>
      </c>
      <c r="B14" s="5" t="s">
        <v>208</v>
      </c>
    </row>
    <row r="15" spans="1:2" x14ac:dyDescent="0.25">
      <c r="A15" s="5" t="s">
        <v>14</v>
      </c>
      <c r="B15" s="5" t="s">
        <v>209</v>
      </c>
    </row>
    <row r="16" spans="1:2" x14ac:dyDescent="0.25">
      <c r="A16" s="5" t="s">
        <v>15</v>
      </c>
      <c r="B16" s="5" t="s">
        <v>210</v>
      </c>
    </row>
    <row r="17" spans="1:2" x14ac:dyDescent="0.25">
      <c r="A17" s="5" t="s">
        <v>16</v>
      </c>
      <c r="B17" s="5" t="s">
        <v>211</v>
      </c>
    </row>
    <row r="20" spans="1:2" x14ac:dyDescent="0.25">
      <c r="A20" s="5" t="s">
        <v>70</v>
      </c>
    </row>
    <row r="21" spans="1:2" x14ac:dyDescent="0.25">
      <c r="A21" s="5" t="s">
        <v>71</v>
      </c>
    </row>
    <row r="22" spans="1:2" x14ac:dyDescent="0.25">
      <c r="A22" s="5" t="s">
        <v>72</v>
      </c>
      <c r="B22" s="7"/>
    </row>
    <row r="23" spans="1:2" x14ac:dyDescent="0.25">
      <c r="A23" s="7" t="s">
        <v>17</v>
      </c>
      <c r="B23" s="7"/>
    </row>
    <row r="24" spans="1:2" x14ac:dyDescent="0.25">
      <c r="A24" s="5" t="s">
        <v>73</v>
      </c>
      <c r="B24" s="7"/>
    </row>
    <row r="25" spans="1:2" x14ac:dyDescent="0.25">
      <c r="A25" s="5" t="s">
        <v>17</v>
      </c>
    </row>
    <row r="26" spans="1:2" x14ac:dyDescent="0.25">
      <c r="A26" s="5" t="s">
        <v>74</v>
      </c>
    </row>
    <row r="27" spans="1:2" x14ac:dyDescent="0.25">
      <c r="A27" s="5" t="s">
        <v>75</v>
      </c>
    </row>
    <row r="28" spans="1:2" x14ac:dyDescent="0.25">
      <c r="A28" s="5" t="s">
        <v>74</v>
      </c>
    </row>
    <row r="29" spans="1:2" x14ac:dyDescent="0.25">
      <c r="A29" s="5" t="s">
        <v>74</v>
      </c>
    </row>
    <row r="30" spans="1:2" x14ac:dyDescent="0.25">
      <c r="A30" s="5" t="s">
        <v>75</v>
      </c>
    </row>
    <row r="31" spans="1:2" x14ac:dyDescent="0.25">
      <c r="A31" s="5" t="s">
        <v>76</v>
      </c>
    </row>
    <row r="32" spans="1:2" x14ac:dyDescent="0.25">
      <c r="A32" s="5" t="s">
        <v>74</v>
      </c>
    </row>
    <row r="33" spans="1:1" x14ac:dyDescent="0.25">
      <c r="A33" s="5" t="s">
        <v>75</v>
      </c>
    </row>
    <row r="34" spans="1:1" x14ac:dyDescent="0.25">
      <c r="A34" s="5" t="s">
        <v>17</v>
      </c>
    </row>
    <row r="35" spans="1:1" x14ac:dyDescent="0.25">
      <c r="A35" s="5" t="s">
        <v>77</v>
      </c>
    </row>
    <row r="36" spans="1:1" x14ac:dyDescent="0.25">
      <c r="A36" s="5" t="s">
        <v>78</v>
      </c>
    </row>
    <row r="37" spans="1:1" x14ac:dyDescent="0.25">
      <c r="A37" s="5" t="s">
        <v>17</v>
      </c>
    </row>
    <row r="38" spans="1:1" x14ac:dyDescent="0.25">
      <c r="A38" s="5" t="s">
        <v>79</v>
      </c>
    </row>
    <row r="39" spans="1:1" x14ac:dyDescent="0.25">
      <c r="A39" s="5" t="s">
        <v>80</v>
      </c>
    </row>
    <row r="40" spans="1:1" x14ac:dyDescent="0.25">
      <c r="A40" s="5" t="s">
        <v>81</v>
      </c>
    </row>
    <row r="41" spans="1:1" x14ac:dyDescent="0.25">
      <c r="A41" s="5" t="s">
        <v>82</v>
      </c>
    </row>
    <row r="42" spans="1:1" x14ac:dyDescent="0.25">
      <c r="A42" s="5" t="s">
        <v>83</v>
      </c>
    </row>
    <row r="43" spans="1:1" x14ac:dyDescent="0.25">
      <c r="A43" s="5" t="s">
        <v>84</v>
      </c>
    </row>
    <row r="44" spans="1:1" x14ac:dyDescent="0.25">
      <c r="A44" s="5" t="s">
        <v>85</v>
      </c>
    </row>
    <row r="45" spans="1:1" x14ac:dyDescent="0.25">
      <c r="A45" s="5" t="s">
        <v>86</v>
      </c>
    </row>
    <row r="46" spans="1:1" x14ac:dyDescent="0.25">
      <c r="A46" s="5" t="s">
        <v>83</v>
      </c>
    </row>
    <row r="47" spans="1:1" x14ac:dyDescent="0.25">
      <c r="A47" s="5" t="s">
        <v>85</v>
      </c>
    </row>
    <row r="48" spans="1:1" x14ac:dyDescent="0.25">
      <c r="A48" s="5" t="s">
        <v>87</v>
      </c>
    </row>
    <row r="49" spans="1:1" x14ac:dyDescent="0.25">
      <c r="A49" s="5" t="s">
        <v>83</v>
      </c>
    </row>
    <row r="50" spans="1:1" x14ac:dyDescent="0.25">
      <c r="A50" s="5" t="s">
        <v>87</v>
      </c>
    </row>
    <row r="51" spans="1:1" x14ac:dyDescent="0.25">
      <c r="A51" s="5" t="s">
        <v>88</v>
      </c>
    </row>
    <row r="52" spans="1:1" x14ac:dyDescent="0.25">
      <c r="A52" s="5" t="s">
        <v>87</v>
      </c>
    </row>
    <row r="53" spans="1:1" x14ac:dyDescent="0.25">
      <c r="A53" s="5" t="s">
        <v>83</v>
      </c>
    </row>
    <row r="54" spans="1:1" x14ac:dyDescent="0.25">
      <c r="A54" s="5" t="s">
        <v>89</v>
      </c>
    </row>
    <row r="55" spans="1:1" x14ac:dyDescent="0.25">
      <c r="A55" s="5" t="s">
        <v>83</v>
      </c>
    </row>
    <row r="56" spans="1:1" x14ac:dyDescent="0.25">
      <c r="A56" s="5" t="s">
        <v>84</v>
      </c>
    </row>
    <row r="57" spans="1:1" x14ac:dyDescent="0.25">
      <c r="A57" s="5" t="s">
        <v>84</v>
      </c>
    </row>
    <row r="58" spans="1:1" x14ac:dyDescent="0.25">
      <c r="A58" s="5" t="s">
        <v>85</v>
      </c>
    </row>
    <row r="59" spans="1:1" x14ac:dyDescent="0.25">
      <c r="A59" s="5" t="s">
        <v>71</v>
      </c>
    </row>
    <row r="60" spans="1:1" x14ac:dyDescent="0.25">
      <c r="A60" s="5" t="s">
        <v>71</v>
      </c>
    </row>
    <row r="61" spans="1:1" x14ac:dyDescent="0.25">
      <c r="A61" s="5" t="s">
        <v>85</v>
      </c>
    </row>
    <row r="62" spans="1:1" x14ac:dyDescent="0.25">
      <c r="A62" s="5" t="s">
        <v>72</v>
      </c>
    </row>
    <row r="63" spans="1:1" x14ac:dyDescent="0.25">
      <c r="A63" s="5" t="s">
        <v>85</v>
      </c>
    </row>
    <row r="64" spans="1:1" x14ac:dyDescent="0.25">
      <c r="A64" s="5" t="s">
        <v>72</v>
      </c>
    </row>
    <row r="65" spans="1:1" x14ac:dyDescent="0.25">
      <c r="A65" s="5" t="s">
        <v>72</v>
      </c>
    </row>
    <row r="66" spans="1:1" x14ac:dyDescent="0.25">
      <c r="A66" s="5" t="s">
        <v>71</v>
      </c>
    </row>
    <row r="67" spans="1:1" x14ac:dyDescent="0.25">
      <c r="A67" s="5" t="s">
        <v>90</v>
      </c>
    </row>
    <row r="68" spans="1:1" x14ac:dyDescent="0.25">
      <c r="A68" s="5" t="s">
        <v>78</v>
      </c>
    </row>
    <row r="69" spans="1:1" x14ac:dyDescent="0.25">
      <c r="A69" s="5" t="s">
        <v>78</v>
      </c>
    </row>
    <row r="70" spans="1:1" x14ac:dyDescent="0.25">
      <c r="A70" s="5" t="s">
        <v>72</v>
      </c>
    </row>
    <row r="71" spans="1:1" x14ac:dyDescent="0.25">
      <c r="A71" s="5" t="s">
        <v>90</v>
      </c>
    </row>
    <row r="72" spans="1:1" x14ac:dyDescent="0.25">
      <c r="A72" s="5" t="s">
        <v>78</v>
      </c>
    </row>
    <row r="73" spans="1:1" x14ac:dyDescent="0.25">
      <c r="A73" s="5" t="s">
        <v>70</v>
      </c>
    </row>
    <row r="74" spans="1:1" x14ac:dyDescent="0.25">
      <c r="A74" s="5" t="s">
        <v>90</v>
      </c>
    </row>
    <row r="75" spans="1:1" x14ac:dyDescent="0.25">
      <c r="A75" s="5" t="s">
        <v>70</v>
      </c>
    </row>
    <row r="76" spans="1:1" x14ac:dyDescent="0.25">
      <c r="A76" s="5" t="s">
        <v>90</v>
      </c>
    </row>
    <row r="77" spans="1:1" x14ac:dyDescent="0.25">
      <c r="A77" s="5" t="s">
        <v>70</v>
      </c>
    </row>
    <row r="78" spans="1:1" x14ac:dyDescent="0.25">
      <c r="A78" s="5" t="s">
        <v>90</v>
      </c>
    </row>
    <row r="79" spans="1:1" x14ac:dyDescent="0.25">
      <c r="A79" s="5" t="s">
        <v>70</v>
      </c>
    </row>
    <row r="80" spans="1:1" x14ac:dyDescent="0.25">
      <c r="A80" s="5" t="s">
        <v>91</v>
      </c>
    </row>
    <row r="81" spans="1:1" x14ac:dyDescent="0.25">
      <c r="A81" s="5" t="s">
        <v>70</v>
      </c>
    </row>
    <row r="82" spans="1:1" x14ac:dyDescent="0.25">
      <c r="A82" s="5" t="s">
        <v>92</v>
      </c>
    </row>
    <row r="83" spans="1:1" x14ac:dyDescent="0.25">
      <c r="A83" s="5" t="s">
        <v>17</v>
      </c>
    </row>
    <row r="84" spans="1:1" x14ac:dyDescent="0.25">
      <c r="A84" s="5" t="s">
        <v>93</v>
      </c>
    </row>
    <row r="85" spans="1:1" x14ac:dyDescent="0.25">
      <c r="A85" s="5" t="s">
        <v>94</v>
      </c>
    </row>
    <row r="86" spans="1:1" x14ac:dyDescent="0.25">
      <c r="A86" s="5" t="s">
        <v>95</v>
      </c>
    </row>
    <row r="87" spans="1:1" x14ac:dyDescent="0.25">
      <c r="A87" s="5" t="s">
        <v>96</v>
      </c>
    </row>
    <row r="88" spans="1:1" x14ac:dyDescent="0.25">
      <c r="A88" s="5" t="s">
        <v>93</v>
      </c>
    </row>
    <row r="89" spans="1:1" x14ac:dyDescent="0.25">
      <c r="A89" s="5" t="s">
        <v>71</v>
      </c>
    </row>
    <row r="90" spans="1:1" x14ac:dyDescent="0.25">
      <c r="A90" s="5" t="s">
        <v>72</v>
      </c>
    </row>
    <row r="91" spans="1:1" x14ac:dyDescent="0.25">
      <c r="A91" s="5" t="s">
        <v>71</v>
      </c>
    </row>
    <row r="92" spans="1:1" x14ac:dyDescent="0.25">
      <c r="A92" s="5" t="s">
        <v>93</v>
      </c>
    </row>
    <row r="93" spans="1:1" x14ac:dyDescent="0.25">
      <c r="A93" s="5" t="s">
        <v>71</v>
      </c>
    </row>
    <row r="94" spans="1:1" x14ac:dyDescent="0.25">
      <c r="A94" s="5" t="s">
        <v>72</v>
      </c>
    </row>
    <row r="95" spans="1:1" x14ac:dyDescent="0.25">
      <c r="A95" s="5" t="s">
        <v>97</v>
      </c>
    </row>
    <row r="96" spans="1:1" x14ac:dyDescent="0.25">
      <c r="A96" s="5" t="s">
        <v>97</v>
      </c>
    </row>
    <row r="97" spans="1:1" x14ac:dyDescent="0.25">
      <c r="A97" s="5" t="s">
        <v>72</v>
      </c>
    </row>
    <row r="98" spans="1:1" x14ac:dyDescent="0.25">
      <c r="A98" s="5" t="s">
        <v>97</v>
      </c>
    </row>
    <row r="99" spans="1:1" x14ac:dyDescent="0.25">
      <c r="A99" s="5" t="s">
        <v>98</v>
      </c>
    </row>
    <row r="100" spans="1:1" x14ac:dyDescent="0.25">
      <c r="A100" s="5" t="s">
        <v>98</v>
      </c>
    </row>
    <row r="101" spans="1:1" x14ac:dyDescent="0.25">
      <c r="A101" s="5" t="s">
        <v>98</v>
      </c>
    </row>
    <row r="102" spans="1:1" x14ac:dyDescent="0.25">
      <c r="A102" s="5" t="s">
        <v>99</v>
      </c>
    </row>
    <row r="103" spans="1:1" x14ac:dyDescent="0.25">
      <c r="A103" s="5" t="s">
        <v>100</v>
      </c>
    </row>
    <row r="104" spans="1:1" x14ac:dyDescent="0.25">
      <c r="A104" s="5" t="s">
        <v>100</v>
      </c>
    </row>
    <row r="105" spans="1:1" x14ac:dyDescent="0.25">
      <c r="A105" s="5" t="s">
        <v>100</v>
      </c>
    </row>
    <row r="106" spans="1:1" x14ac:dyDescent="0.25">
      <c r="A106" s="5" t="s">
        <v>101</v>
      </c>
    </row>
    <row r="107" spans="1:1" x14ac:dyDescent="0.25">
      <c r="A107" s="5" t="s">
        <v>101</v>
      </c>
    </row>
    <row r="108" spans="1:1" x14ac:dyDescent="0.25">
      <c r="A108" s="5" t="s">
        <v>101</v>
      </c>
    </row>
    <row r="109" spans="1:1" x14ac:dyDescent="0.25">
      <c r="A109" s="5" t="s">
        <v>88</v>
      </c>
    </row>
    <row r="110" spans="1:1" x14ac:dyDescent="0.25">
      <c r="A110" s="5" t="s">
        <v>101</v>
      </c>
    </row>
    <row r="111" spans="1:1" x14ac:dyDescent="0.25">
      <c r="A111" s="5" t="s">
        <v>88</v>
      </c>
    </row>
    <row r="112" spans="1:1" x14ac:dyDescent="0.25">
      <c r="A112" s="5" t="s">
        <v>101</v>
      </c>
    </row>
    <row r="113" spans="1:1" x14ac:dyDescent="0.25">
      <c r="A113" s="5" t="s">
        <v>88</v>
      </c>
    </row>
    <row r="114" spans="1:1" x14ac:dyDescent="0.25">
      <c r="A114" s="5" t="s">
        <v>102</v>
      </c>
    </row>
    <row r="115" spans="1:1" x14ac:dyDescent="0.25">
      <c r="A115" s="5" t="s">
        <v>101</v>
      </c>
    </row>
    <row r="116" spans="1:1" x14ac:dyDescent="0.25">
      <c r="A116" s="5" t="s">
        <v>89</v>
      </c>
    </row>
    <row r="117" spans="1:1" x14ac:dyDescent="0.25">
      <c r="A117" s="5" t="s">
        <v>102</v>
      </c>
    </row>
    <row r="118" spans="1:1" x14ac:dyDescent="0.25">
      <c r="A118" s="5" t="s">
        <v>87</v>
      </c>
    </row>
    <row r="119" spans="1:1" x14ac:dyDescent="0.25">
      <c r="A119" s="5" t="s">
        <v>102</v>
      </c>
    </row>
    <row r="120" spans="1:1" x14ac:dyDescent="0.25">
      <c r="A120" s="5" t="s">
        <v>88</v>
      </c>
    </row>
    <row r="121" spans="1:1" x14ac:dyDescent="0.25">
      <c r="A121" s="5" t="s">
        <v>87</v>
      </c>
    </row>
    <row r="122" spans="1:1" x14ac:dyDescent="0.25">
      <c r="A122" s="5" t="s">
        <v>87</v>
      </c>
    </row>
    <row r="123" spans="1:1" x14ac:dyDescent="0.25">
      <c r="A123" s="5" t="s">
        <v>89</v>
      </c>
    </row>
    <row r="124" spans="1:1" x14ac:dyDescent="0.25">
      <c r="A124" s="5" t="s">
        <v>89</v>
      </c>
    </row>
    <row r="125" spans="1:1" x14ac:dyDescent="0.25">
      <c r="A125" s="5" t="s">
        <v>88</v>
      </c>
    </row>
    <row r="126" spans="1:1" x14ac:dyDescent="0.25">
      <c r="A126" s="5" t="s">
        <v>102</v>
      </c>
    </row>
    <row r="127" spans="1:1" x14ac:dyDescent="0.25">
      <c r="A127" s="5" t="s">
        <v>102</v>
      </c>
    </row>
    <row r="128" spans="1:1" x14ac:dyDescent="0.25">
      <c r="A128" s="5" t="s">
        <v>103</v>
      </c>
    </row>
    <row r="129" spans="1:1" x14ac:dyDescent="0.25">
      <c r="A129" s="5" t="s">
        <v>89</v>
      </c>
    </row>
    <row r="130" spans="1:1" x14ac:dyDescent="0.25">
      <c r="A130" s="5" t="s">
        <v>101</v>
      </c>
    </row>
    <row r="131" spans="1:1" x14ac:dyDescent="0.25">
      <c r="A131" s="5" t="s">
        <v>101</v>
      </c>
    </row>
    <row r="132" spans="1:1" x14ac:dyDescent="0.25">
      <c r="A132" s="5" t="s">
        <v>89</v>
      </c>
    </row>
    <row r="133" spans="1:1" x14ac:dyDescent="0.25">
      <c r="A133" s="5" t="s">
        <v>101</v>
      </c>
    </row>
    <row r="134" spans="1:1" x14ac:dyDescent="0.25">
      <c r="A134" s="5" t="s">
        <v>104</v>
      </c>
    </row>
    <row r="135" spans="1:1" x14ac:dyDescent="0.25">
      <c r="A135" s="5" t="s">
        <v>87</v>
      </c>
    </row>
    <row r="136" spans="1:1" x14ac:dyDescent="0.25">
      <c r="A136" s="5" t="s">
        <v>95</v>
      </c>
    </row>
    <row r="137" spans="1:1" x14ac:dyDescent="0.25">
      <c r="A137" s="5" t="s">
        <v>105</v>
      </c>
    </row>
    <row r="138" spans="1:1" x14ac:dyDescent="0.25">
      <c r="A138" s="5" t="s">
        <v>87</v>
      </c>
    </row>
    <row r="139" spans="1:1" x14ac:dyDescent="0.25">
      <c r="A139" s="5" t="s">
        <v>95</v>
      </c>
    </row>
    <row r="140" spans="1:1" x14ac:dyDescent="0.25">
      <c r="A140" s="5" t="s">
        <v>87</v>
      </c>
    </row>
    <row r="141" spans="1:1" x14ac:dyDescent="0.25">
      <c r="A141" s="5" t="s">
        <v>95</v>
      </c>
    </row>
    <row r="142" spans="1:1" x14ac:dyDescent="0.25">
      <c r="A142" s="5" t="s">
        <v>71</v>
      </c>
    </row>
    <row r="143" spans="1:1" x14ac:dyDescent="0.25">
      <c r="A143" s="5" t="s">
        <v>101</v>
      </c>
    </row>
    <row r="144" spans="1:1" x14ac:dyDescent="0.25">
      <c r="A144" s="5" t="s">
        <v>17</v>
      </c>
    </row>
    <row r="145" spans="1:1" x14ac:dyDescent="0.25">
      <c r="A145" s="5" t="s">
        <v>96</v>
      </c>
    </row>
    <row r="146" spans="1:1" x14ac:dyDescent="0.25">
      <c r="A146" s="5" t="s">
        <v>88</v>
      </c>
    </row>
    <row r="147" spans="1:1" x14ac:dyDescent="0.25">
      <c r="A147" s="5" t="s">
        <v>106</v>
      </c>
    </row>
    <row r="148" spans="1:1" x14ac:dyDescent="0.25">
      <c r="A148" s="5" t="s">
        <v>101</v>
      </c>
    </row>
    <row r="149" spans="1:1" x14ac:dyDescent="0.25">
      <c r="A149" s="5" t="s">
        <v>71</v>
      </c>
    </row>
    <row r="150" spans="1:1" x14ac:dyDescent="0.25">
      <c r="A150" s="5" t="s">
        <v>96</v>
      </c>
    </row>
    <row r="151" spans="1:1" x14ac:dyDescent="0.25">
      <c r="A151" s="5" t="s">
        <v>96</v>
      </c>
    </row>
    <row r="152" spans="1:1" x14ac:dyDescent="0.25">
      <c r="A152" s="5" t="s">
        <v>107</v>
      </c>
    </row>
    <row r="153" spans="1:1" x14ac:dyDescent="0.25">
      <c r="A153" s="5" t="s">
        <v>106</v>
      </c>
    </row>
    <row r="154" spans="1:1" x14ac:dyDescent="0.25">
      <c r="A154" s="5" t="s">
        <v>71</v>
      </c>
    </row>
    <row r="155" spans="1:1" x14ac:dyDescent="0.25">
      <c r="A155" s="5" t="s">
        <v>107</v>
      </c>
    </row>
    <row r="156" spans="1:1" x14ac:dyDescent="0.25">
      <c r="A156" s="5" t="s">
        <v>72</v>
      </c>
    </row>
    <row r="157" spans="1:1" x14ac:dyDescent="0.25">
      <c r="A157" s="5" t="s">
        <v>107</v>
      </c>
    </row>
    <row r="158" spans="1:1" x14ac:dyDescent="0.25">
      <c r="A158" s="5" t="s">
        <v>87</v>
      </c>
    </row>
    <row r="159" spans="1:1" x14ac:dyDescent="0.25">
      <c r="A159" s="5" t="s">
        <v>72</v>
      </c>
    </row>
    <row r="160" spans="1:1" x14ac:dyDescent="0.25">
      <c r="A160" s="5" t="s">
        <v>90</v>
      </c>
    </row>
    <row r="161" spans="1:1" x14ac:dyDescent="0.25">
      <c r="A161" s="5" t="s">
        <v>108</v>
      </c>
    </row>
    <row r="162" spans="1:1" x14ac:dyDescent="0.25">
      <c r="A162" s="5" t="s">
        <v>87</v>
      </c>
    </row>
    <row r="163" spans="1:1" x14ac:dyDescent="0.25">
      <c r="A163" s="5" t="s">
        <v>109</v>
      </c>
    </row>
    <row r="164" spans="1:1" x14ac:dyDescent="0.25">
      <c r="A164" s="5" t="s">
        <v>107</v>
      </c>
    </row>
    <row r="165" spans="1:1" x14ac:dyDescent="0.25">
      <c r="A165" s="5" t="s">
        <v>89</v>
      </c>
    </row>
    <row r="166" spans="1:1" x14ac:dyDescent="0.25">
      <c r="A166" s="5" t="s">
        <v>90</v>
      </c>
    </row>
    <row r="167" spans="1:1" x14ac:dyDescent="0.25">
      <c r="A167" s="5" t="s">
        <v>72</v>
      </c>
    </row>
    <row r="168" spans="1:1" x14ac:dyDescent="0.25">
      <c r="A168" s="5" t="s">
        <v>108</v>
      </c>
    </row>
    <row r="169" spans="1:1" x14ac:dyDescent="0.25">
      <c r="A169" s="5" t="s">
        <v>107</v>
      </c>
    </row>
    <row r="170" spans="1:1" x14ac:dyDescent="0.25">
      <c r="A170" s="5" t="s">
        <v>109</v>
      </c>
    </row>
    <row r="171" spans="1:1" x14ac:dyDescent="0.25">
      <c r="A171" s="5" t="s">
        <v>108</v>
      </c>
    </row>
    <row r="172" spans="1:1" x14ac:dyDescent="0.25">
      <c r="A172" s="5" t="s">
        <v>109</v>
      </c>
    </row>
    <row r="173" spans="1:1" x14ac:dyDescent="0.25">
      <c r="A173" s="5" t="s">
        <v>103</v>
      </c>
    </row>
    <row r="174" spans="1:1" x14ac:dyDescent="0.25">
      <c r="A174" s="5" t="s">
        <v>71</v>
      </c>
    </row>
    <row r="175" spans="1:1" x14ac:dyDescent="0.25">
      <c r="A175" s="5" t="s">
        <v>106</v>
      </c>
    </row>
    <row r="176" spans="1:1" x14ac:dyDescent="0.25">
      <c r="A176" s="5" t="s">
        <v>76</v>
      </c>
    </row>
    <row r="177" spans="1:1" x14ac:dyDescent="0.25">
      <c r="A177" s="5" t="s">
        <v>71</v>
      </c>
    </row>
    <row r="178" spans="1:1" x14ac:dyDescent="0.25">
      <c r="A178" s="5" t="s">
        <v>109</v>
      </c>
    </row>
    <row r="179" spans="1:1" x14ac:dyDescent="0.25">
      <c r="A179" s="5" t="s">
        <v>76</v>
      </c>
    </row>
    <row r="180" spans="1:1" x14ac:dyDescent="0.25">
      <c r="A180" s="5" t="s">
        <v>103</v>
      </c>
    </row>
    <row r="181" spans="1:1" x14ac:dyDescent="0.25">
      <c r="A181" s="5" t="s">
        <v>109</v>
      </c>
    </row>
    <row r="182" spans="1:1" x14ac:dyDescent="0.25">
      <c r="A182" s="5" t="s">
        <v>76</v>
      </c>
    </row>
    <row r="183" spans="1:1" x14ac:dyDescent="0.25">
      <c r="A183" s="5" t="s">
        <v>71</v>
      </c>
    </row>
    <row r="184" spans="1:1" x14ac:dyDescent="0.25">
      <c r="A184" s="5" t="s">
        <v>71</v>
      </c>
    </row>
    <row r="185" spans="1:1" x14ac:dyDescent="0.25">
      <c r="A185" s="5" t="s">
        <v>103</v>
      </c>
    </row>
    <row r="186" spans="1:1" x14ac:dyDescent="0.25">
      <c r="A186" s="5" t="s">
        <v>104</v>
      </c>
    </row>
    <row r="187" spans="1:1" x14ac:dyDescent="0.25">
      <c r="A187" s="5" t="s">
        <v>72</v>
      </c>
    </row>
    <row r="188" spans="1:1" x14ac:dyDescent="0.25">
      <c r="A188" s="5" t="s">
        <v>87</v>
      </c>
    </row>
    <row r="189" spans="1:1" x14ac:dyDescent="0.25">
      <c r="A189" s="5" t="s">
        <v>71</v>
      </c>
    </row>
    <row r="190" spans="1:1" x14ac:dyDescent="0.25">
      <c r="A190" s="5" t="s">
        <v>90</v>
      </c>
    </row>
    <row r="191" spans="1:1" x14ac:dyDescent="0.25">
      <c r="A191" s="5" t="s">
        <v>72</v>
      </c>
    </row>
    <row r="192" spans="1:1" x14ac:dyDescent="0.25">
      <c r="A192" s="5" t="s">
        <v>87</v>
      </c>
    </row>
    <row r="193" spans="1:1" x14ac:dyDescent="0.25">
      <c r="A193" s="5" t="s">
        <v>90</v>
      </c>
    </row>
    <row r="194" spans="1:1" x14ac:dyDescent="0.25">
      <c r="A194" s="5" t="s">
        <v>104</v>
      </c>
    </row>
    <row r="195" spans="1:1" x14ac:dyDescent="0.25">
      <c r="A195" s="5" t="s">
        <v>71</v>
      </c>
    </row>
    <row r="196" spans="1:1" x14ac:dyDescent="0.25">
      <c r="A196" s="5" t="s">
        <v>72</v>
      </c>
    </row>
    <row r="197" spans="1:1" x14ac:dyDescent="0.25">
      <c r="A197" s="5" t="s">
        <v>87</v>
      </c>
    </row>
    <row r="198" spans="1:1" x14ac:dyDescent="0.25">
      <c r="A198" s="5" t="s">
        <v>17</v>
      </c>
    </row>
    <row r="199" spans="1:1" x14ac:dyDescent="0.25">
      <c r="A199" s="5" t="s">
        <v>72</v>
      </c>
    </row>
    <row r="200" spans="1:1" x14ac:dyDescent="0.25">
      <c r="A200" s="5" t="s">
        <v>104</v>
      </c>
    </row>
    <row r="201" spans="1:1" x14ac:dyDescent="0.25">
      <c r="A201" s="5" t="s">
        <v>72</v>
      </c>
    </row>
    <row r="202" spans="1:1" x14ac:dyDescent="0.25">
      <c r="A202" s="5" t="s">
        <v>72</v>
      </c>
    </row>
    <row r="203" spans="1:1" x14ac:dyDescent="0.25">
      <c r="A203" s="5" t="s">
        <v>77</v>
      </c>
    </row>
    <row r="204" spans="1:1" x14ac:dyDescent="0.25">
      <c r="A204" s="5" t="s">
        <v>77</v>
      </c>
    </row>
    <row r="205" spans="1:1" x14ac:dyDescent="0.25">
      <c r="A205" s="5" t="s">
        <v>87</v>
      </c>
    </row>
    <row r="206" spans="1:1" x14ac:dyDescent="0.25">
      <c r="A206" s="5" t="s">
        <v>77</v>
      </c>
    </row>
    <row r="207" spans="1:1" x14ac:dyDescent="0.25">
      <c r="A207" s="5" t="s">
        <v>17</v>
      </c>
    </row>
    <row r="208" spans="1:1" x14ac:dyDescent="0.25">
      <c r="A208" s="5" t="s">
        <v>17</v>
      </c>
    </row>
    <row r="209" spans="1:1" x14ac:dyDescent="0.25">
      <c r="A209" s="5" t="s">
        <v>87</v>
      </c>
    </row>
    <row r="210" spans="1:1" x14ac:dyDescent="0.25">
      <c r="A210" s="5" t="s">
        <v>110</v>
      </c>
    </row>
    <row r="211" spans="1:1" x14ac:dyDescent="0.25">
      <c r="A211" s="5" t="s">
        <v>87</v>
      </c>
    </row>
    <row r="212" spans="1:1" x14ac:dyDescent="0.25">
      <c r="A212" s="5" t="s">
        <v>105</v>
      </c>
    </row>
    <row r="213" spans="1:1" x14ac:dyDescent="0.25">
      <c r="A213" s="5" t="s">
        <v>87</v>
      </c>
    </row>
    <row r="214" spans="1:1" x14ac:dyDescent="0.25">
      <c r="A214" s="5" t="s">
        <v>105</v>
      </c>
    </row>
    <row r="215" spans="1:1" x14ac:dyDescent="0.25">
      <c r="A215" s="5" t="s">
        <v>101</v>
      </c>
    </row>
    <row r="216" spans="1:1" x14ac:dyDescent="0.25">
      <c r="A216" s="5" t="s">
        <v>87</v>
      </c>
    </row>
    <row r="217" spans="1:1" x14ac:dyDescent="0.25">
      <c r="A217" s="5" t="s">
        <v>101</v>
      </c>
    </row>
    <row r="218" spans="1:1" x14ac:dyDescent="0.25">
      <c r="A218" s="5" t="s">
        <v>17</v>
      </c>
    </row>
    <row r="219" spans="1:1" x14ac:dyDescent="0.25">
      <c r="A219" s="5" t="s">
        <v>105</v>
      </c>
    </row>
    <row r="220" spans="1:1" x14ac:dyDescent="0.25">
      <c r="A220" s="5" t="s">
        <v>87</v>
      </c>
    </row>
    <row r="221" spans="1:1" x14ac:dyDescent="0.25">
      <c r="A221" s="5" t="s">
        <v>107</v>
      </c>
    </row>
    <row r="222" spans="1:1" x14ac:dyDescent="0.25">
      <c r="A222" s="5" t="s">
        <v>105</v>
      </c>
    </row>
    <row r="223" spans="1:1" x14ac:dyDescent="0.25">
      <c r="A223" s="5" t="s">
        <v>101</v>
      </c>
    </row>
    <row r="224" spans="1:1" x14ac:dyDescent="0.25">
      <c r="A224" s="5" t="s">
        <v>87</v>
      </c>
    </row>
    <row r="225" spans="1:1" x14ac:dyDescent="0.25">
      <c r="A225" s="5" t="s">
        <v>101</v>
      </c>
    </row>
    <row r="226" spans="1:1" x14ac:dyDescent="0.25">
      <c r="A226" s="5" t="s">
        <v>87</v>
      </c>
    </row>
    <row r="227" spans="1:1" x14ac:dyDescent="0.25">
      <c r="A227" s="5" t="s">
        <v>17</v>
      </c>
    </row>
    <row r="228" spans="1:1" x14ac:dyDescent="0.25">
      <c r="A228" s="5" t="s">
        <v>111</v>
      </c>
    </row>
    <row r="229" spans="1:1" x14ac:dyDescent="0.25">
      <c r="A229" s="5" t="s">
        <v>112</v>
      </c>
    </row>
    <row r="230" spans="1:1" x14ac:dyDescent="0.25">
      <c r="A230" s="5" t="s">
        <v>84</v>
      </c>
    </row>
    <row r="231" spans="1:1" x14ac:dyDescent="0.25">
      <c r="A231" s="5" t="s">
        <v>113</v>
      </c>
    </row>
    <row r="232" spans="1:1" x14ac:dyDescent="0.25">
      <c r="A232" s="5" t="s">
        <v>86</v>
      </c>
    </row>
    <row r="233" spans="1:1" x14ac:dyDescent="0.25">
      <c r="A233" s="5" t="s">
        <v>114</v>
      </c>
    </row>
    <row r="234" spans="1:1" x14ac:dyDescent="0.25">
      <c r="A234" s="5" t="s">
        <v>115</v>
      </c>
    </row>
    <row r="235" spans="1:1" x14ac:dyDescent="0.25">
      <c r="A235" s="5" t="s">
        <v>17</v>
      </c>
    </row>
    <row r="236" spans="1:1" x14ac:dyDescent="0.25">
      <c r="A236" s="5" t="s">
        <v>72</v>
      </c>
    </row>
    <row r="237" spans="1:1" x14ac:dyDescent="0.25">
      <c r="A237" s="5" t="s">
        <v>116</v>
      </c>
    </row>
    <row r="238" spans="1:1" x14ac:dyDescent="0.25">
      <c r="A238" s="5" t="s">
        <v>116</v>
      </c>
    </row>
    <row r="239" spans="1:1" x14ac:dyDescent="0.25">
      <c r="A239" s="5" t="s">
        <v>117</v>
      </c>
    </row>
    <row r="240" spans="1:1" x14ac:dyDescent="0.25">
      <c r="A240" s="5" t="s">
        <v>117</v>
      </c>
    </row>
    <row r="241" spans="1:1" x14ac:dyDescent="0.25">
      <c r="A241" s="5" t="s">
        <v>17</v>
      </c>
    </row>
    <row r="242" spans="1:1" x14ac:dyDescent="0.25">
      <c r="A242" s="5" t="s">
        <v>118</v>
      </c>
    </row>
    <row r="243" spans="1:1" x14ac:dyDescent="0.25">
      <c r="A243" s="5" t="s">
        <v>118</v>
      </c>
    </row>
    <row r="244" spans="1:1" x14ac:dyDescent="0.25">
      <c r="A244" s="5" t="s">
        <v>119</v>
      </c>
    </row>
    <row r="245" spans="1:1" x14ac:dyDescent="0.25">
      <c r="A245" s="5" t="s">
        <v>106</v>
      </c>
    </row>
    <row r="246" spans="1:1" x14ac:dyDescent="0.25">
      <c r="A246" s="5" t="s">
        <v>119</v>
      </c>
    </row>
    <row r="247" spans="1:1" x14ac:dyDescent="0.25">
      <c r="A247" s="5" t="s">
        <v>118</v>
      </c>
    </row>
    <row r="248" spans="1:1" x14ac:dyDescent="0.25">
      <c r="A248" s="5" t="s">
        <v>90</v>
      </c>
    </row>
    <row r="249" spans="1:1" x14ac:dyDescent="0.25">
      <c r="A249" s="5" t="s">
        <v>118</v>
      </c>
    </row>
    <row r="250" spans="1:1" x14ac:dyDescent="0.25">
      <c r="A250" s="5" t="s">
        <v>90</v>
      </c>
    </row>
    <row r="251" spans="1:1" x14ac:dyDescent="0.25">
      <c r="A251" s="5" t="s">
        <v>118</v>
      </c>
    </row>
    <row r="252" spans="1:1" x14ac:dyDescent="0.25">
      <c r="A252" s="5" t="s">
        <v>118</v>
      </c>
    </row>
    <row r="253" spans="1:1" x14ac:dyDescent="0.25">
      <c r="A253" s="5" t="s">
        <v>118</v>
      </c>
    </row>
    <row r="254" spans="1:1" x14ac:dyDescent="0.25">
      <c r="A254" s="5" t="s">
        <v>17</v>
      </c>
    </row>
    <row r="255" spans="1:1" x14ac:dyDescent="0.25">
      <c r="A255" s="5" t="s">
        <v>87</v>
      </c>
    </row>
    <row r="256" spans="1:1" x14ac:dyDescent="0.25">
      <c r="A256" s="5" t="s">
        <v>87</v>
      </c>
    </row>
    <row r="257" spans="1:1" x14ac:dyDescent="0.25">
      <c r="A257" s="5" t="s">
        <v>88</v>
      </c>
    </row>
    <row r="258" spans="1:1" x14ac:dyDescent="0.25">
      <c r="A258" s="5" t="s">
        <v>120</v>
      </c>
    </row>
    <row r="259" spans="1:1" x14ac:dyDescent="0.25">
      <c r="A259" s="5" t="s">
        <v>87</v>
      </c>
    </row>
    <row r="260" spans="1:1" x14ac:dyDescent="0.25">
      <c r="A260" s="5" t="s">
        <v>120</v>
      </c>
    </row>
    <row r="261" spans="1:1" x14ac:dyDescent="0.25">
      <c r="A261" s="5" t="s">
        <v>87</v>
      </c>
    </row>
    <row r="262" spans="1:1" x14ac:dyDescent="0.25">
      <c r="A262" s="5" t="s">
        <v>120</v>
      </c>
    </row>
    <row r="263" spans="1:1" x14ac:dyDescent="0.25">
      <c r="A263" s="5" t="s">
        <v>120</v>
      </c>
    </row>
    <row r="264" spans="1:1" x14ac:dyDescent="0.25">
      <c r="A264" s="5" t="s">
        <v>76</v>
      </c>
    </row>
    <row r="265" spans="1:1" x14ac:dyDescent="0.25">
      <c r="A265" s="5" t="s">
        <v>100</v>
      </c>
    </row>
    <row r="266" spans="1:1" x14ac:dyDescent="0.25">
      <c r="A266" s="5" t="s">
        <v>89</v>
      </c>
    </row>
    <row r="267" spans="1:1" x14ac:dyDescent="0.25">
      <c r="A267" s="5" t="s">
        <v>76</v>
      </c>
    </row>
    <row r="268" spans="1:1" x14ac:dyDescent="0.25">
      <c r="A268" s="5" t="s">
        <v>100</v>
      </c>
    </row>
    <row r="269" spans="1:1" x14ac:dyDescent="0.25">
      <c r="A269" s="5" t="s">
        <v>100</v>
      </c>
    </row>
    <row r="270" spans="1:1" x14ac:dyDescent="0.25">
      <c r="A270" s="5" t="s">
        <v>93</v>
      </c>
    </row>
    <row r="271" spans="1:1" x14ac:dyDescent="0.25">
      <c r="A271" s="5" t="s">
        <v>100</v>
      </c>
    </row>
    <row r="272" spans="1:1" x14ac:dyDescent="0.25">
      <c r="A272" s="5" t="s">
        <v>100</v>
      </c>
    </row>
    <row r="273" spans="1:1" x14ac:dyDescent="0.25">
      <c r="A273" s="5" t="s">
        <v>106</v>
      </c>
    </row>
    <row r="274" spans="1:1" x14ac:dyDescent="0.25">
      <c r="A274" s="5" t="s">
        <v>93</v>
      </c>
    </row>
    <row r="275" spans="1:1" x14ac:dyDescent="0.25">
      <c r="A275" s="5" t="s">
        <v>100</v>
      </c>
    </row>
    <row r="276" spans="1:1" x14ac:dyDescent="0.25">
      <c r="A276" s="5" t="s">
        <v>17</v>
      </c>
    </row>
    <row r="277" spans="1:1" x14ac:dyDescent="0.25">
      <c r="A277" s="5" t="s">
        <v>106</v>
      </c>
    </row>
    <row r="278" spans="1:1" x14ac:dyDescent="0.25">
      <c r="A278" s="5" t="s">
        <v>70</v>
      </c>
    </row>
    <row r="279" spans="1:1" x14ac:dyDescent="0.25">
      <c r="A279" s="5" t="s">
        <v>91</v>
      </c>
    </row>
    <row r="280" spans="1:1" x14ac:dyDescent="0.25">
      <c r="A280" s="5" t="s">
        <v>106</v>
      </c>
    </row>
    <row r="281" spans="1:1" x14ac:dyDescent="0.25">
      <c r="A281" s="5" t="s">
        <v>17</v>
      </c>
    </row>
    <row r="282" spans="1:1" x14ac:dyDescent="0.25">
      <c r="A282" s="5" t="s">
        <v>91</v>
      </c>
    </row>
    <row r="283" spans="1:1" x14ac:dyDescent="0.25">
      <c r="A283" s="5" t="s">
        <v>106</v>
      </c>
    </row>
    <row r="284" spans="1:1" x14ac:dyDescent="0.25">
      <c r="A284" s="5" t="s">
        <v>97</v>
      </c>
    </row>
    <row r="285" spans="1:1" x14ac:dyDescent="0.25">
      <c r="A285" s="5" t="s">
        <v>106</v>
      </c>
    </row>
    <row r="286" spans="1:1" x14ac:dyDescent="0.25">
      <c r="A286" s="5" t="s">
        <v>97</v>
      </c>
    </row>
    <row r="287" spans="1:1" x14ac:dyDescent="0.25">
      <c r="A287" s="5" t="s">
        <v>97</v>
      </c>
    </row>
    <row r="288" spans="1:1" x14ac:dyDescent="0.25">
      <c r="A288" s="5" t="s">
        <v>90</v>
      </c>
    </row>
    <row r="289" spans="1:1" x14ac:dyDescent="0.25">
      <c r="A289" s="5" t="s">
        <v>90</v>
      </c>
    </row>
    <row r="290" spans="1:1" x14ac:dyDescent="0.25">
      <c r="A290" s="5" t="s">
        <v>17</v>
      </c>
    </row>
    <row r="291" spans="1:1" x14ac:dyDescent="0.25">
      <c r="A291" s="5" t="s">
        <v>97</v>
      </c>
    </row>
    <row r="292" spans="1:1" x14ac:dyDescent="0.25">
      <c r="A292" s="5" t="s">
        <v>70</v>
      </c>
    </row>
    <row r="293" spans="1:1" x14ac:dyDescent="0.25">
      <c r="A293" s="5" t="s">
        <v>97</v>
      </c>
    </row>
    <row r="294" spans="1:1" x14ac:dyDescent="0.25">
      <c r="A294" s="5" t="s">
        <v>70</v>
      </c>
    </row>
    <row r="295" spans="1:1" x14ac:dyDescent="0.25">
      <c r="A295" s="5" t="s">
        <v>90</v>
      </c>
    </row>
    <row r="296" spans="1:1" x14ac:dyDescent="0.25">
      <c r="A296" s="5" t="s">
        <v>70</v>
      </c>
    </row>
    <row r="297" spans="1:1" x14ac:dyDescent="0.25">
      <c r="A297" s="5" t="s">
        <v>90</v>
      </c>
    </row>
    <row r="298" spans="1:1" x14ac:dyDescent="0.25">
      <c r="A298" s="5" t="s">
        <v>121</v>
      </c>
    </row>
    <row r="299" spans="1:1" x14ac:dyDescent="0.25">
      <c r="A299" s="5" t="s">
        <v>121</v>
      </c>
    </row>
    <row r="300" spans="1:1" x14ac:dyDescent="0.25">
      <c r="A300" s="5" t="s">
        <v>121</v>
      </c>
    </row>
    <row r="301" spans="1:1" x14ac:dyDescent="0.25">
      <c r="A301" s="5" t="s">
        <v>17</v>
      </c>
    </row>
    <row r="302" spans="1:1" x14ac:dyDescent="0.25">
      <c r="A302" s="5" t="s">
        <v>17</v>
      </c>
    </row>
    <row r="303" spans="1:1" x14ac:dyDescent="0.25">
      <c r="A303" s="5" t="s">
        <v>122</v>
      </c>
    </row>
    <row r="304" spans="1:1" x14ac:dyDescent="0.25">
      <c r="A304" s="5" t="s">
        <v>122</v>
      </c>
    </row>
    <row r="305" spans="1:1" x14ac:dyDescent="0.25">
      <c r="A305" s="5" t="s">
        <v>121</v>
      </c>
    </row>
    <row r="306" spans="1:1" x14ac:dyDescent="0.25">
      <c r="A306" s="5" t="s">
        <v>71</v>
      </c>
    </row>
    <row r="307" spans="1:1" x14ac:dyDescent="0.25">
      <c r="A307" s="5" t="s">
        <v>121</v>
      </c>
    </row>
    <row r="308" spans="1:1" x14ac:dyDescent="0.25">
      <c r="A308" s="5" t="s">
        <v>17</v>
      </c>
    </row>
    <row r="309" spans="1:1" x14ac:dyDescent="0.25">
      <c r="A309" s="5" t="s">
        <v>71</v>
      </c>
    </row>
    <row r="310" spans="1:1" x14ac:dyDescent="0.25">
      <c r="A310" s="5" t="s">
        <v>123</v>
      </c>
    </row>
    <row r="311" spans="1:1" x14ac:dyDescent="0.25">
      <c r="A311" s="5" t="s">
        <v>71</v>
      </c>
    </row>
    <row r="312" spans="1:1" x14ac:dyDescent="0.25">
      <c r="A312" s="5" t="s">
        <v>122</v>
      </c>
    </row>
    <row r="313" spans="1:1" x14ac:dyDescent="0.25">
      <c r="A313" s="5" t="s">
        <v>123</v>
      </c>
    </row>
    <row r="314" spans="1:1" x14ac:dyDescent="0.25">
      <c r="A314" s="5" t="s">
        <v>122</v>
      </c>
    </row>
    <row r="315" spans="1:1" x14ac:dyDescent="0.25">
      <c r="A315" s="5" t="s">
        <v>123</v>
      </c>
    </row>
    <row r="316" spans="1:1" x14ac:dyDescent="0.25">
      <c r="A316" s="5" t="s">
        <v>72</v>
      </c>
    </row>
    <row r="317" spans="1:1" x14ac:dyDescent="0.25">
      <c r="A317" s="5" t="s">
        <v>71</v>
      </c>
    </row>
    <row r="318" spans="1:1" x14ac:dyDescent="0.25">
      <c r="A318" s="5" t="s">
        <v>72</v>
      </c>
    </row>
    <row r="319" spans="1:1" x14ac:dyDescent="0.25">
      <c r="A319" s="5" t="s">
        <v>124</v>
      </c>
    </row>
    <row r="320" spans="1:1" x14ac:dyDescent="0.25">
      <c r="A320" s="5" t="s">
        <v>124</v>
      </c>
    </row>
    <row r="321" spans="1:1" x14ac:dyDescent="0.25">
      <c r="A321" s="5" t="s">
        <v>124</v>
      </c>
    </row>
    <row r="322" spans="1:1" x14ac:dyDescent="0.25">
      <c r="A322" s="5" t="s">
        <v>123</v>
      </c>
    </row>
    <row r="323" spans="1:1" x14ac:dyDescent="0.25">
      <c r="A323" s="5" t="s">
        <v>72</v>
      </c>
    </row>
    <row r="324" spans="1:1" x14ac:dyDescent="0.25">
      <c r="A324" s="5" t="s">
        <v>123</v>
      </c>
    </row>
    <row r="325" spans="1:1" x14ac:dyDescent="0.25">
      <c r="A325" s="5" t="s">
        <v>124</v>
      </c>
    </row>
    <row r="326" spans="1:1" x14ac:dyDescent="0.25">
      <c r="A326" s="5" t="s">
        <v>123</v>
      </c>
    </row>
    <row r="327" spans="1:1" x14ac:dyDescent="0.25">
      <c r="A327" s="5" t="s">
        <v>123</v>
      </c>
    </row>
    <row r="328" spans="1:1" x14ac:dyDescent="0.25">
      <c r="A328" s="5" t="s">
        <v>111</v>
      </c>
    </row>
    <row r="329" spans="1:1" x14ac:dyDescent="0.25">
      <c r="A329" s="5" t="s">
        <v>111</v>
      </c>
    </row>
    <row r="330" spans="1:1" x14ac:dyDescent="0.25">
      <c r="A330" s="5" t="s">
        <v>111</v>
      </c>
    </row>
    <row r="331" spans="1:1" x14ac:dyDescent="0.25">
      <c r="A331" s="5" t="s">
        <v>111</v>
      </c>
    </row>
    <row r="332" spans="1:1" x14ac:dyDescent="0.25">
      <c r="A332" s="5" t="s">
        <v>112</v>
      </c>
    </row>
    <row r="333" spans="1:1" x14ac:dyDescent="0.25">
      <c r="A333" s="5" t="s">
        <v>112</v>
      </c>
    </row>
    <row r="334" spans="1:1" x14ac:dyDescent="0.25">
      <c r="A334" s="5" t="s">
        <v>112</v>
      </c>
    </row>
    <row r="335" spans="1:1" x14ac:dyDescent="0.25">
      <c r="A335" s="5" t="s">
        <v>125</v>
      </c>
    </row>
    <row r="336" spans="1:1" x14ac:dyDescent="0.25">
      <c r="A336" s="5" t="s">
        <v>78</v>
      </c>
    </row>
    <row r="337" spans="1:1" x14ac:dyDescent="0.25">
      <c r="A337" s="5" t="s">
        <v>125</v>
      </c>
    </row>
    <row r="338" spans="1:1" x14ac:dyDescent="0.25">
      <c r="A338" s="5" t="s">
        <v>78</v>
      </c>
    </row>
    <row r="339" spans="1:1" x14ac:dyDescent="0.25">
      <c r="A339" s="5" t="s">
        <v>112</v>
      </c>
    </row>
    <row r="340" spans="1:1" x14ac:dyDescent="0.25">
      <c r="A340" s="5" t="s">
        <v>112</v>
      </c>
    </row>
    <row r="341" spans="1:1" x14ac:dyDescent="0.25">
      <c r="A341" s="5" t="s">
        <v>125</v>
      </c>
    </row>
    <row r="342" spans="1:1" x14ac:dyDescent="0.25">
      <c r="A342" s="5" t="s">
        <v>78</v>
      </c>
    </row>
    <row r="343" spans="1:1" x14ac:dyDescent="0.25">
      <c r="A343" s="5" t="s">
        <v>78</v>
      </c>
    </row>
    <row r="344" spans="1:1" x14ac:dyDescent="0.25">
      <c r="A344" s="5" t="s">
        <v>78</v>
      </c>
    </row>
    <row r="345" spans="1:1" x14ac:dyDescent="0.25">
      <c r="A345" s="5" t="s">
        <v>106</v>
      </c>
    </row>
    <row r="346" spans="1:1" x14ac:dyDescent="0.25">
      <c r="A346" s="5" t="s">
        <v>123</v>
      </c>
    </row>
    <row r="347" spans="1:1" x14ac:dyDescent="0.25">
      <c r="A347" s="5" t="s">
        <v>106</v>
      </c>
    </row>
    <row r="348" spans="1:1" x14ac:dyDescent="0.25">
      <c r="A348" s="5" t="s">
        <v>123</v>
      </c>
    </row>
    <row r="349" spans="1:1" x14ac:dyDescent="0.25">
      <c r="A349" s="5" t="s">
        <v>106</v>
      </c>
    </row>
    <row r="350" spans="1:1" x14ac:dyDescent="0.25">
      <c r="A350" s="5" t="s">
        <v>123</v>
      </c>
    </row>
    <row r="351" spans="1:1" x14ac:dyDescent="0.25">
      <c r="A351" s="5" t="s">
        <v>78</v>
      </c>
    </row>
    <row r="352" spans="1:1" x14ac:dyDescent="0.25">
      <c r="A352" s="5" t="s">
        <v>17</v>
      </c>
    </row>
    <row r="353" spans="1:1" x14ac:dyDescent="0.25">
      <c r="A353" s="5" t="s">
        <v>78</v>
      </c>
    </row>
    <row r="354" spans="1:1" x14ac:dyDescent="0.25">
      <c r="A354" s="5" t="s">
        <v>123</v>
      </c>
    </row>
    <row r="355" spans="1:1" x14ac:dyDescent="0.25">
      <c r="A355" s="5" t="s">
        <v>123</v>
      </c>
    </row>
    <row r="356" spans="1:1" x14ac:dyDescent="0.25">
      <c r="A356" s="5" t="s">
        <v>17</v>
      </c>
    </row>
    <row r="357" spans="1:1" x14ac:dyDescent="0.25">
      <c r="A357" s="5" t="s">
        <v>90</v>
      </c>
    </row>
    <row r="358" spans="1:1" x14ac:dyDescent="0.25">
      <c r="A358" s="5" t="s">
        <v>90</v>
      </c>
    </row>
    <row r="359" spans="1:1" x14ac:dyDescent="0.25">
      <c r="A359" s="5" t="s">
        <v>90</v>
      </c>
    </row>
    <row r="360" spans="1:1" x14ac:dyDescent="0.25">
      <c r="A360" s="5" t="s">
        <v>77</v>
      </c>
    </row>
    <row r="361" spans="1:1" x14ac:dyDescent="0.25">
      <c r="A361" s="5" t="s">
        <v>77</v>
      </c>
    </row>
    <row r="362" spans="1:1" x14ac:dyDescent="0.25">
      <c r="A362" s="5" t="s">
        <v>77</v>
      </c>
    </row>
    <row r="363" spans="1:1" x14ac:dyDescent="0.25">
      <c r="A363" s="5" t="s">
        <v>123</v>
      </c>
    </row>
    <row r="364" spans="1:1" x14ac:dyDescent="0.25">
      <c r="A364" s="5" t="s">
        <v>123</v>
      </c>
    </row>
    <row r="365" spans="1:1" x14ac:dyDescent="0.25">
      <c r="A365" s="5" t="s">
        <v>17</v>
      </c>
    </row>
    <row r="366" spans="1:1" x14ac:dyDescent="0.25">
      <c r="A366" s="5" t="s">
        <v>123</v>
      </c>
    </row>
    <row r="367" spans="1:1" x14ac:dyDescent="0.25">
      <c r="A367" s="5" t="s">
        <v>126</v>
      </c>
    </row>
    <row r="368" spans="1:1" x14ac:dyDescent="0.25">
      <c r="A368" s="5" t="s">
        <v>123</v>
      </c>
    </row>
    <row r="369" spans="1:1" x14ac:dyDescent="0.25">
      <c r="A369" s="5" t="s">
        <v>123</v>
      </c>
    </row>
    <row r="370" spans="1:1" x14ac:dyDescent="0.25">
      <c r="A370" s="5" t="s">
        <v>127</v>
      </c>
    </row>
    <row r="371" spans="1:1" x14ac:dyDescent="0.25">
      <c r="A371" s="5" t="s">
        <v>127</v>
      </c>
    </row>
    <row r="372" spans="1:1" x14ac:dyDescent="0.25">
      <c r="A372" s="5" t="s">
        <v>123</v>
      </c>
    </row>
    <row r="373" spans="1:1" x14ac:dyDescent="0.25">
      <c r="A373" s="5" t="s">
        <v>127</v>
      </c>
    </row>
    <row r="374" spans="1:1" x14ac:dyDescent="0.25">
      <c r="A374" s="5" t="s">
        <v>123</v>
      </c>
    </row>
    <row r="375" spans="1:1" x14ac:dyDescent="0.25">
      <c r="A375" s="5" t="s">
        <v>17</v>
      </c>
    </row>
    <row r="376" spans="1:1" x14ac:dyDescent="0.25">
      <c r="A376" s="5" t="s">
        <v>111</v>
      </c>
    </row>
    <row r="377" spans="1:1" x14ac:dyDescent="0.25">
      <c r="A377" s="5" t="s">
        <v>127</v>
      </c>
    </row>
    <row r="378" spans="1:1" x14ac:dyDescent="0.25">
      <c r="A378" s="5" t="s">
        <v>126</v>
      </c>
    </row>
    <row r="379" spans="1:1" x14ac:dyDescent="0.25">
      <c r="A379" s="5" t="s">
        <v>127</v>
      </c>
    </row>
    <row r="380" spans="1:1" x14ac:dyDescent="0.25">
      <c r="A380" s="5" t="s">
        <v>127</v>
      </c>
    </row>
    <row r="381" spans="1:1" x14ac:dyDescent="0.25">
      <c r="A381" s="5" t="s">
        <v>128</v>
      </c>
    </row>
    <row r="382" spans="1:1" x14ac:dyDescent="0.25">
      <c r="A382" s="5" t="s">
        <v>126</v>
      </c>
    </row>
    <row r="383" spans="1:1" x14ac:dyDescent="0.25">
      <c r="A383" s="5" t="s">
        <v>127</v>
      </c>
    </row>
    <row r="384" spans="1:1" x14ac:dyDescent="0.25">
      <c r="A384" s="5" t="s">
        <v>88</v>
      </c>
    </row>
    <row r="385" spans="1:1" x14ac:dyDescent="0.25">
      <c r="A385" s="5" t="s">
        <v>128</v>
      </c>
    </row>
    <row r="386" spans="1:1" x14ac:dyDescent="0.25">
      <c r="A386" s="5" t="s">
        <v>127</v>
      </c>
    </row>
    <row r="387" spans="1:1" x14ac:dyDescent="0.25">
      <c r="A387" s="5" t="s">
        <v>128</v>
      </c>
    </row>
    <row r="388" spans="1:1" x14ac:dyDescent="0.25">
      <c r="A388" s="5" t="s">
        <v>112</v>
      </c>
    </row>
    <row r="389" spans="1:1" x14ac:dyDescent="0.25">
      <c r="A389" s="5" t="s">
        <v>128</v>
      </c>
    </row>
    <row r="390" spans="1:1" x14ac:dyDescent="0.25">
      <c r="A390" s="5" t="s">
        <v>125</v>
      </c>
    </row>
    <row r="391" spans="1:1" x14ac:dyDescent="0.25">
      <c r="A391" s="5" t="s">
        <v>112</v>
      </c>
    </row>
    <row r="392" spans="1:1" x14ac:dyDescent="0.25">
      <c r="A392" s="5" t="s">
        <v>123</v>
      </c>
    </row>
    <row r="393" spans="1:1" x14ac:dyDescent="0.25">
      <c r="A393" s="5" t="s">
        <v>128</v>
      </c>
    </row>
    <row r="394" spans="1:1" x14ac:dyDescent="0.25">
      <c r="A394" s="5" t="s">
        <v>123</v>
      </c>
    </row>
    <row r="395" spans="1:1" x14ac:dyDescent="0.25">
      <c r="A395" s="5" t="s">
        <v>125</v>
      </c>
    </row>
    <row r="396" spans="1:1" x14ac:dyDescent="0.25">
      <c r="A396" s="5" t="s">
        <v>128</v>
      </c>
    </row>
    <row r="397" spans="1:1" x14ac:dyDescent="0.25">
      <c r="A397" s="5" t="s">
        <v>123</v>
      </c>
    </row>
    <row r="398" spans="1:1" x14ac:dyDescent="0.25">
      <c r="A398" s="5" t="s">
        <v>125</v>
      </c>
    </row>
    <row r="399" spans="1:1" x14ac:dyDescent="0.25">
      <c r="A399" s="5" t="s">
        <v>128</v>
      </c>
    </row>
    <row r="400" spans="1:1" x14ac:dyDescent="0.25">
      <c r="A400" s="5" t="s">
        <v>123</v>
      </c>
    </row>
    <row r="401" spans="1:1" x14ac:dyDescent="0.25">
      <c r="A401" s="5" t="s">
        <v>128</v>
      </c>
    </row>
    <row r="402" spans="1:1" x14ac:dyDescent="0.25">
      <c r="A402" s="5" t="s">
        <v>123</v>
      </c>
    </row>
    <row r="403" spans="1:1" x14ac:dyDescent="0.25">
      <c r="A403" s="5" t="s">
        <v>128</v>
      </c>
    </row>
    <row r="404" spans="1:1" x14ac:dyDescent="0.25">
      <c r="A404" s="5" t="s">
        <v>89</v>
      </c>
    </row>
    <row r="405" spans="1:1" x14ac:dyDescent="0.25">
      <c r="A405" s="5" t="s">
        <v>125</v>
      </c>
    </row>
    <row r="406" spans="1:1" x14ac:dyDescent="0.25">
      <c r="A406" s="5" t="s">
        <v>125</v>
      </c>
    </row>
    <row r="407" spans="1:1" x14ac:dyDescent="0.25">
      <c r="A407" s="5" t="s">
        <v>17</v>
      </c>
    </row>
    <row r="408" spans="1:1" x14ac:dyDescent="0.25">
      <c r="A408" s="5" t="s">
        <v>125</v>
      </c>
    </row>
    <row r="409" spans="1:1" x14ac:dyDescent="0.25">
      <c r="A409" s="5" t="s">
        <v>78</v>
      </c>
    </row>
    <row r="410" spans="1:1" x14ac:dyDescent="0.25">
      <c r="A410" s="5" t="s">
        <v>125</v>
      </c>
    </row>
    <row r="411" spans="1:1" x14ac:dyDescent="0.25">
      <c r="A411" s="5" t="s">
        <v>78</v>
      </c>
    </row>
    <row r="412" spans="1:1" x14ac:dyDescent="0.25">
      <c r="A412" s="5" t="s">
        <v>78</v>
      </c>
    </row>
    <row r="413" spans="1:1" x14ac:dyDescent="0.25">
      <c r="A413" s="5" t="s">
        <v>78</v>
      </c>
    </row>
    <row r="414" spans="1:1" x14ac:dyDescent="0.25">
      <c r="A414" s="5" t="s">
        <v>91</v>
      </c>
    </row>
    <row r="415" spans="1:1" x14ac:dyDescent="0.25">
      <c r="A415" s="5" t="s">
        <v>129</v>
      </c>
    </row>
    <row r="416" spans="1:1" x14ac:dyDescent="0.25">
      <c r="A416" s="5" t="s">
        <v>91</v>
      </c>
    </row>
    <row r="417" spans="1:1" x14ac:dyDescent="0.25">
      <c r="A417" s="5" t="s">
        <v>129</v>
      </c>
    </row>
    <row r="418" spans="1:1" x14ac:dyDescent="0.25">
      <c r="A418" s="5" t="s">
        <v>91</v>
      </c>
    </row>
    <row r="419" spans="1:1" x14ac:dyDescent="0.25">
      <c r="A419" s="5" t="s">
        <v>91</v>
      </c>
    </row>
    <row r="420" spans="1:1" x14ac:dyDescent="0.25">
      <c r="A420" s="5" t="s">
        <v>91</v>
      </c>
    </row>
    <row r="421" spans="1:1" x14ac:dyDescent="0.25">
      <c r="A421" s="5" t="s">
        <v>129</v>
      </c>
    </row>
    <row r="422" spans="1:1" x14ac:dyDescent="0.25">
      <c r="A422" s="5" t="s">
        <v>70</v>
      </c>
    </row>
    <row r="423" spans="1:1" x14ac:dyDescent="0.25">
      <c r="A423" s="5" t="s">
        <v>129</v>
      </c>
    </row>
    <row r="424" spans="1:1" x14ac:dyDescent="0.25">
      <c r="A424" s="5" t="s">
        <v>130</v>
      </c>
    </row>
    <row r="425" spans="1:1" x14ac:dyDescent="0.25">
      <c r="A425" s="5" t="s">
        <v>126</v>
      </c>
    </row>
    <row r="426" spans="1:1" x14ac:dyDescent="0.25">
      <c r="A426" s="5" t="s">
        <v>131</v>
      </c>
    </row>
    <row r="427" spans="1:1" x14ac:dyDescent="0.25">
      <c r="A427" s="5" t="s">
        <v>70</v>
      </c>
    </row>
    <row r="428" spans="1:1" x14ac:dyDescent="0.25">
      <c r="A428" s="5" t="s">
        <v>130</v>
      </c>
    </row>
    <row r="429" spans="1:1" x14ac:dyDescent="0.25">
      <c r="A429" s="5" t="s">
        <v>131</v>
      </c>
    </row>
    <row r="430" spans="1:1" x14ac:dyDescent="0.25">
      <c r="A430" s="5" t="s">
        <v>70</v>
      </c>
    </row>
    <row r="431" spans="1:1" x14ac:dyDescent="0.25">
      <c r="A431" s="5" t="s">
        <v>130</v>
      </c>
    </row>
    <row r="432" spans="1:1" x14ac:dyDescent="0.25">
      <c r="A432" s="5" t="s">
        <v>131</v>
      </c>
    </row>
    <row r="433" spans="1:1" x14ac:dyDescent="0.25">
      <c r="A433" s="5" t="s">
        <v>129</v>
      </c>
    </row>
    <row r="434" spans="1:1" x14ac:dyDescent="0.25">
      <c r="A434" s="5" t="s">
        <v>70</v>
      </c>
    </row>
    <row r="435" spans="1:1" x14ac:dyDescent="0.25">
      <c r="A435" s="5" t="s">
        <v>129</v>
      </c>
    </row>
    <row r="436" spans="1:1" x14ac:dyDescent="0.25">
      <c r="A436" s="5" t="s">
        <v>123</v>
      </c>
    </row>
    <row r="437" spans="1:1" x14ac:dyDescent="0.25">
      <c r="A437" s="5" t="s">
        <v>70</v>
      </c>
    </row>
    <row r="438" spans="1:1" x14ac:dyDescent="0.25">
      <c r="A438" s="5" t="s">
        <v>91</v>
      </c>
    </row>
    <row r="439" spans="1:1" x14ac:dyDescent="0.25">
      <c r="A439" s="5" t="s">
        <v>131</v>
      </c>
    </row>
    <row r="440" spans="1:1" x14ac:dyDescent="0.25">
      <c r="A440" s="5" t="s">
        <v>130</v>
      </c>
    </row>
    <row r="441" spans="1:1" x14ac:dyDescent="0.25">
      <c r="A441" s="5" t="s">
        <v>70</v>
      </c>
    </row>
    <row r="442" spans="1:1" x14ac:dyDescent="0.25">
      <c r="A442" s="5" t="s">
        <v>123</v>
      </c>
    </row>
    <row r="443" spans="1:1" x14ac:dyDescent="0.25">
      <c r="A443" s="5" t="s">
        <v>131</v>
      </c>
    </row>
    <row r="444" spans="1:1" x14ac:dyDescent="0.25">
      <c r="A444" s="5" t="s">
        <v>130</v>
      </c>
    </row>
    <row r="445" spans="1:1" x14ac:dyDescent="0.25">
      <c r="A445" s="5" t="s">
        <v>131</v>
      </c>
    </row>
    <row r="446" spans="1:1" x14ac:dyDescent="0.25">
      <c r="A446" s="5" t="s">
        <v>129</v>
      </c>
    </row>
    <row r="447" spans="1:1" x14ac:dyDescent="0.25">
      <c r="A447" s="5" t="s">
        <v>130</v>
      </c>
    </row>
    <row r="448" spans="1:1" x14ac:dyDescent="0.25">
      <c r="A448" s="5" t="s">
        <v>123</v>
      </c>
    </row>
    <row r="449" spans="1:1" x14ac:dyDescent="0.25">
      <c r="A449" s="5" t="s">
        <v>123</v>
      </c>
    </row>
    <row r="450" spans="1:1" x14ac:dyDescent="0.25">
      <c r="A450" s="5" t="s">
        <v>130</v>
      </c>
    </row>
    <row r="451" spans="1:1" x14ac:dyDescent="0.25">
      <c r="A451" s="5" t="s">
        <v>129</v>
      </c>
    </row>
    <row r="452" spans="1:1" x14ac:dyDescent="0.25">
      <c r="A452" s="5" t="s">
        <v>123</v>
      </c>
    </row>
    <row r="453" spans="1:1" x14ac:dyDescent="0.25">
      <c r="A453" s="5" t="s">
        <v>129</v>
      </c>
    </row>
    <row r="454" spans="1:1" x14ac:dyDescent="0.25">
      <c r="A454" s="5" t="s">
        <v>131</v>
      </c>
    </row>
    <row r="455" spans="1:1" x14ac:dyDescent="0.25">
      <c r="A455" s="5" t="s">
        <v>131</v>
      </c>
    </row>
    <row r="456" spans="1:1" x14ac:dyDescent="0.25">
      <c r="A456" s="5" t="s">
        <v>131</v>
      </c>
    </row>
    <row r="457" spans="1:1" x14ac:dyDescent="0.25">
      <c r="A457" s="5" t="s">
        <v>18</v>
      </c>
    </row>
    <row r="458" spans="1:1" x14ac:dyDescent="0.25">
      <c r="A458" s="5" t="s">
        <v>70</v>
      </c>
    </row>
    <row r="459" spans="1:1" x14ac:dyDescent="0.25">
      <c r="A459" s="5" t="s">
        <v>18</v>
      </c>
    </row>
    <row r="460" spans="1:1" x14ac:dyDescent="0.25">
      <c r="A460" s="5" t="s">
        <v>18</v>
      </c>
    </row>
    <row r="461" spans="1:1" x14ac:dyDescent="0.25">
      <c r="A461" s="5" t="s">
        <v>131</v>
      </c>
    </row>
    <row r="462" spans="1:1" x14ac:dyDescent="0.25">
      <c r="A462" s="5" t="s">
        <v>123</v>
      </c>
    </row>
    <row r="463" spans="1:1" x14ac:dyDescent="0.25">
      <c r="A463" s="5" t="s">
        <v>131</v>
      </c>
    </row>
    <row r="464" spans="1:1" x14ac:dyDescent="0.25">
      <c r="A464" s="5" t="s">
        <v>131</v>
      </c>
    </row>
    <row r="465" spans="1:1" x14ac:dyDescent="0.25">
      <c r="A465" s="5" t="s">
        <v>18</v>
      </c>
    </row>
    <row r="466" spans="1:1" x14ac:dyDescent="0.25">
      <c r="A466" s="5" t="s">
        <v>18</v>
      </c>
    </row>
    <row r="467" spans="1:1" x14ac:dyDescent="0.25">
      <c r="A467" s="5" t="s">
        <v>132</v>
      </c>
    </row>
    <row r="468" spans="1:1" x14ac:dyDescent="0.25">
      <c r="A468" s="5" t="s">
        <v>132</v>
      </c>
    </row>
    <row r="469" spans="1:1" x14ac:dyDescent="0.25">
      <c r="A469" s="5" t="s">
        <v>132</v>
      </c>
    </row>
    <row r="470" spans="1:1" x14ac:dyDescent="0.25">
      <c r="A470" s="5" t="s">
        <v>132</v>
      </c>
    </row>
    <row r="471" spans="1:1" x14ac:dyDescent="0.25">
      <c r="A471" s="5" t="s">
        <v>132</v>
      </c>
    </row>
    <row r="472" spans="1:1" x14ac:dyDescent="0.25">
      <c r="A472" s="5" t="s">
        <v>103</v>
      </c>
    </row>
    <row r="473" spans="1:1" x14ac:dyDescent="0.25">
      <c r="A473" s="5" t="s">
        <v>133</v>
      </c>
    </row>
    <row r="474" spans="1:1" x14ac:dyDescent="0.25">
      <c r="A474" s="5" t="s">
        <v>103</v>
      </c>
    </row>
    <row r="475" spans="1:1" x14ac:dyDescent="0.25">
      <c r="A475" s="5" t="s">
        <v>133</v>
      </c>
    </row>
    <row r="476" spans="1:1" x14ac:dyDescent="0.25">
      <c r="A476" s="5" t="s">
        <v>129</v>
      </c>
    </row>
    <row r="477" spans="1:1" x14ac:dyDescent="0.25">
      <c r="A477" s="5" t="s">
        <v>133</v>
      </c>
    </row>
    <row r="478" spans="1:1" x14ac:dyDescent="0.25">
      <c r="A478" s="5" t="s">
        <v>129</v>
      </c>
    </row>
    <row r="479" spans="1:1" x14ac:dyDescent="0.25">
      <c r="A479" s="5" t="s">
        <v>133</v>
      </c>
    </row>
    <row r="480" spans="1:1" x14ac:dyDescent="0.25">
      <c r="A480" s="5" t="s">
        <v>129</v>
      </c>
    </row>
    <row r="481" spans="1:1" x14ac:dyDescent="0.25">
      <c r="A481" s="5" t="s">
        <v>103</v>
      </c>
    </row>
    <row r="482" spans="1:1" x14ac:dyDescent="0.25">
      <c r="A482" s="5" t="s">
        <v>133</v>
      </c>
    </row>
    <row r="483" spans="1:1" x14ac:dyDescent="0.25">
      <c r="A483" s="5" t="s">
        <v>103</v>
      </c>
    </row>
    <row r="484" spans="1:1" x14ac:dyDescent="0.25">
      <c r="A484" s="5" t="s">
        <v>17</v>
      </c>
    </row>
    <row r="485" spans="1:1" x14ac:dyDescent="0.25">
      <c r="A485" s="5" t="s">
        <v>123</v>
      </c>
    </row>
    <row r="486" spans="1:1" x14ac:dyDescent="0.25">
      <c r="A486" s="5" t="s">
        <v>123</v>
      </c>
    </row>
    <row r="487" spans="1:1" x14ac:dyDescent="0.25">
      <c r="A487" s="5" t="s">
        <v>103</v>
      </c>
    </row>
    <row r="488" spans="1:1" x14ac:dyDescent="0.25">
      <c r="A488" s="5" t="s">
        <v>123</v>
      </c>
    </row>
    <row r="489" spans="1:1" x14ac:dyDescent="0.25">
      <c r="A489" s="5" t="s">
        <v>129</v>
      </c>
    </row>
    <row r="490" spans="1:1" x14ac:dyDescent="0.25">
      <c r="A490" s="5" t="s">
        <v>104</v>
      </c>
    </row>
    <row r="491" spans="1:1" x14ac:dyDescent="0.25">
      <c r="A491" s="5" t="s">
        <v>134</v>
      </c>
    </row>
    <row r="492" spans="1:1" x14ac:dyDescent="0.25">
      <c r="A492" s="5" t="s">
        <v>129</v>
      </c>
    </row>
    <row r="493" spans="1:1" x14ac:dyDescent="0.25">
      <c r="A493" s="5" t="s">
        <v>134</v>
      </c>
    </row>
    <row r="494" spans="1:1" x14ac:dyDescent="0.25">
      <c r="A494" s="5" t="s">
        <v>104</v>
      </c>
    </row>
    <row r="495" spans="1:1" x14ac:dyDescent="0.25">
      <c r="A495" s="5" t="s">
        <v>103</v>
      </c>
    </row>
    <row r="496" spans="1:1" x14ac:dyDescent="0.25">
      <c r="A496" s="5" t="s">
        <v>134</v>
      </c>
    </row>
    <row r="497" spans="1:1" x14ac:dyDescent="0.25">
      <c r="A497" s="5" t="s">
        <v>131</v>
      </c>
    </row>
    <row r="498" spans="1:1" x14ac:dyDescent="0.25">
      <c r="A498" s="5" t="s">
        <v>87</v>
      </c>
    </row>
    <row r="499" spans="1:1" x14ac:dyDescent="0.25">
      <c r="A499" s="5" t="s">
        <v>104</v>
      </c>
    </row>
    <row r="500" spans="1:1" x14ac:dyDescent="0.25">
      <c r="A500" s="5" t="s">
        <v>134</v>
      </c>
    </row>
    <row r="501" spans="1:1" x14ac:dyDescent="0.25">
      <c r="A501" s="5" t="s">
        <v>103</v>
      </c>
    </row>
    <row r="502" spans="1:1" x14ac:dyDescent="0.25">
      <c r="A502" s="5" t="s">
        <v>131</v>
      </c>
    </row>
    <row r="503" spans="1:1" x14ac:dyDescent="0.25">
      <c r="A503" s="5" t="s">
        <v>129</v>
      </c>
    </row>
    <row r="504" spans="1:1" x14ac:dyDescent="0.25">
      <c r="A504" s="5" t="s">
        <v>87</v>
      </c>
    </row>
    <row r="505" spans="1:1" x14ac:dyDescent="0.25">
      <c r="A505" s="5" t="s">
        <v>104</v>
      </c>
    </row>
    <row r="506" spans="1:1" x14ac:dyDescent="0.25">
      <c r="A506" s="5" t="s">
        <v>134</v>
      </c>
    </row>
    <row r="507" spans="1:1" x14ac:dyDescent="0.25">
      <c r="A507" s="5" t="s">
        <v>87</v>
      </c>
    </row>
    <row r="508" spans="1:1" x14ac:dyDescent="0.25">
      <c r="A508" s="5" t="s">
        <v>103</v>
      </c>
    </row>
    <row r="509" spans="1:1" x14ac:dyDescent="0.25">
      <c r="A509" s="5" t="s">
        <v>104</v>
      </c>
    </row>
    <row r="510" spans="1:1" x14ac:dyDescent="0.25">
      <c r="A510" s="5" t="s">
        <v>129</v>
      </c>
    </row>
    <row r="511" spans="1:1" x14ac:dyDescent="0.25">
      <c r="A511" s="5" t="s">
        <v>104</v>
      </c>
    </row>
    <row r="512" spans="1:1" x14ac:dyDescent="0.25">
      <c r="A512" s="5" t="s">
        <v>131</v>
      </c>
    </row>
    <row r="513" spans="1:1" x14ac:dyDescent="0.25">
      <c r="A513" s="5" t="s">
        <v>131</v>
      </c>
    </row>
    <row r="514" spans="1:1" x14ac:dyDescent="0.25">
      <c r="A514" s="5" t="s">
        <v>106</v>
      </c>
    </row>
    <row r="515" spans="1:1" x14ac:dyDescent="0.25">
      <c r="A515" s="5" t="s">
        <v>104</v>
      </c>
    </row>
    <row r="516" spans="1:1" x14ac:dyDescent="0.25">
      <c r="A516" s="5" t="s">
        <v>87</v>
      </c>
    </row>
    <row r="517" spans="1:1" x14ac:dyDescent="0.25">
      <c r="A517" s="5" t="s">
        <v>131</v>
      </c>
    </row>
    <row r="518" spans="1:1" x14ac:dyDescent="0.25">
      <c r="A518" s="5" t="s">
        <v>134</v>
      </c>
    </row>
    <row r="519" spans="1:1" x14ac:dyDescent="0.25">
      <c r="A519" s="5" t="s">
        <v>106</v>
      </c>
    </row>
    <row r="520" spans="1:1" x14ac:dyDescent="0.25">
      <c r="A520" s="5" t="s">
        <v>87</v>
      </c>
    </row>
    <row r="521" spans="1:1" x14ac:dyDescent="0.25">
      <c r="A521" s="5" t="s">
        <v>129</v>
      </c>
    </row>
    <row r="522" spans="1:1" x14ac:dyDescent="0.25">
      <c r="A522" s="5" t="s">
        <v>106</v>
      </c>
    </row>
    <row r="523" spans="1:1" x14ac:dyDescent="0.25">
      <c r="A523" s="5" t="s">
        <v>104</v>
      </c>
    </row>
    <row r="524" spans="1:1" x14ac:dyDescent="0.25">
      <c r="A524" s="5" t="s">
        <v>87</v>
      </c>
    </row>
    <row r="525" spans="1:1" x14ac:dyDescent="0.25">
      <c r="A525" s="5" t="s">
        <v>129</v>
      </c>
    </row>
    <row r="526" spans="1:1" x14ac:dyDescent="0.25">
      <c r="A526" s="5" t="s">
        <v>104</v>
      </c>
    </row>
    <row r="527" spans="1:1" x14ac:dyDescent="0.25">
      <c r="A527" s="5" t="s">
        <v>129</v>
      </c>
    </row>
    <row r="528" spans="1:1" x14ac:dyDescent="0.25">
      <c r="A528" s="5" t="s">
        <v>131</v>
      </c>
    </row>
    <row r="529" spans="1:1" x14ac:dyDescent="0.25">
      <c r="A529" s="5" t="s">
        <v>104</v>
      </c>
    </row>
    <row r="530" spans="1:1" x14ac:dyDescent="0.25">
      <c r="A530" s="5" t="s">
        <v>131</v>
      </c>
    </row>
    <row r="531" spans="1:1" x14ac:dyDescent="0.25">
      <c r="A531" s="5" t="s">
        <v>87</v>
      </c>
    </row>
    <row r="532" spans="1:1" x14ac:dyDescent="0.25">
      <c r="A532" s="5" t="s">
        <v>111</v>
      </c>
    </row>
    <row r="533" spans="1:1" x14ac:dyDescent="0.25">
      <c r="A533" s="5" t="s">
        <v>106</v>
      </c>
    </row>
    <row r="534" spans="1:1" x14ac:dyDescent="0.25">
      <c r="A534" s="5" t="s">
        <v>131</v>
      </c>
    </row>
    <row r="535" spans="1:1" x14ac:dyDescent="0.25">
      <c r="A535" s="5" t="s">
        <v>87</v>
      </c>
    </row>
    <row r="536" spans="1:1" x14ac:dyDescent="0.25">
      <c r="A536" s="5" t="s">
        <v>111</v>
      </c>
    </row>
    <row r="537" spans="1:1" x14ac:dyDescent="0.25">
      <c r="A537" s="5" t="s">
        <v>106</v>
      </c>
    </row>
    <row r="538" spans="1:1" x14ac:dyDescent="0.25">
      <c r="A538" s="5" t="s">
        <v>87</v>
      </c>
    </row>
    <row r="539" spans="1:1" x14ac:dyDescent="0.25">
      <c r="A539" s="5" t="s">
        <v>129</v>
      </c>
    </row>
    <row r="540" spans="1:1" x14ac:dyDescent="0.25">
      <c r="A540" s="5" t="s">
        <v>111</v>
      </c>
    </row>
    <row r="541" spans="1:1" x14ac:dyDescent="0.25">
      <c r="A541" s="5" t="s">
        <v>135</v>
      </c>
    </row>
    <row r="542" spans="1:1" x14ac:dyDescent="0.25">
      <c r="A542" s="5" t="s">
        <v>106</v>
      </c>
    </row>
    <row r="543" spans="1:1" x14ac:dyDescent="0.25">
      <c r="A543" s="5" t="s">
        <v>129</v>
      </c>
    </row>
    <row r="544" spans="1:1" x14ac:dyDescent="0.25">
      <c r="A544" s="5" t="s">
        <v>111</v>
      </c>
    </row>
    <row r="545" spans="1:1" x14ac:dyDescent="0.25">
      <c r="A545" s="5" t="s">
        <v>131</v>
      </c>
    </row>
    <row r="546" spans="1:1" x14ac:dyDescent="0.25">
      <c r="A546" s="5" t="s">
        <v>129</v>
      </c>
    </row>
    <row r="547" spans="1:1" x14ac:dyDescent="0.25">
      <c r="A547" s="5" t="s">
        <v>111</v>
      </c>
    </row>
    <row r="548" spans="1:1" x14ac:dyDescent="0.25">
      <c r="A548" s="5" t="s">
        <v>135</v>
      </c>
    </row>
    <row r="549" spans="1:1" x14ac:dyDescent="0.25">
      <c r="A549" s="5" t="s">
        <v>136</v>
      </c>
    </row>
    <row r="550" spans="1:1" x14ac:dyDescent="0.25">
      <c r="A550" s="5" t="s">
        <v>137</v>
      </c>
    </row>
    <row r="551" spans="1:1" x14ac:dyDescent="0.25">
      <c r="A551" s="5" t="s">
        <v>131</v>
      </c>
    </row>
    <row r="552" spans="1:1" x14ac:dyDescent="0.25">
      <c r="A552" s="5" t="s">
        <v>111</v>
      </c>
    </row>
    <row r="553" spans="1:1" x14ac:dyDescent="0.25">
      <c r="A553" s="5" t="s">
        <v>135</v>
      </c>
    </row>
    <row r="554" spans="1:1" x14ac:dyDescent="0.25">
      <c r="A554" s="5" t="s">
        <v>136</v>
      </c>
    </row>
    <row r="555" spans="1:1" x14ac:dyDescent="0.25">
      <c r="A555" s="5" t="s">
        <v>106</v>
      </c>
    </row>
    <row r="556" spans="1:1" x14ac:dyDescent="0.25">
      <c r="A556" s="5" t="s">
        <v>88</v>
      </c>
    </row>
    <row r="557" spans="1:1" x14ac:dyDescent="0.25">
      <c r="A557" s="5" t="s">
        <v>87</v>
      </c>
    </row>
    <row r="558" spans="1:1" x14ac:dyDescent="0.25">
      <c r="A558" s="5" t="s">
        <v>131</v>
      </c>
    </row>
    <row r="559" spans="1:1" x14ac:dyDescent="0.25">
      <c r="A559" s="5" t="s">
        <v>111</v>
      </c>
    </row>
    <row r="560" spans="1:1" x14ac:dyDescent="0.25">
      <c r="A560" s="5" t="s">
        <v>135</v>
      </c>
    </row>
    <row r="561" spans="1:1" x14ac:dyDescent="0.25">
      <c r="A561" s="5" t="s">
        <v>106</v>
      </c>
    </row>
    <row r="562" spans="1:1" x14ac:dyDescent="0.25">
      <c r="A562" s="5" t="s">
        <v>129</v>
      </c>
    </row>
    <row r="563" spans="1:1" x14ac:dyDescent="0.25">
      <c r="A563" s="5" t="s">
        <v>87</v>
      </c>
    </row>
    <row r="564" spans="1:1" x14ac:dyDescent="0.25">
      <c r="A564" s="5" t="s">
        <v>112</v>
      </c>
    </row>
    <row r="565" spans="1:1" x14ac:dyDescent="0.25">
      <c r="A565" s="5" t="s">
        <v>135</v>
      </c>
    </row>
    <row r="566" spans="1:1" x14ac:dyDescent="0.25">
      <c r="A566" s="5" t="s">
        <v>90</v>
      </c>
    </row>
    <row r="567" spans="1:1" x14ac:dyDescent="0.25">
      <c r="A567" s="5" t="s">
        <v>106</v>
      </c>
    </row>
    <row r="568" spans="1:1" x14ac:dyDescent="0.25">
      <c r="A568" s="5" t="s">
        <v>112</v>
      </c>
    </row>
    <row r="569" spans="1:1" x14ac:dyDescent="0.25">
      <c r="A569" s="5" t="s">
        <v>137</v>
      </c>
    </row>
    <row r="570" spans="1:1" x14ac:dyDescent="0.25">
      <c r="A570" s="5" t="s">
        <v>129</v>
      </c>
    </row>
    <row r="571" spans="1:1" x14ac:dyDescent="0.25">
      <c r="A571" s="5" t="s">
        <v>90</v>
      </c>
    </row>
    <row r="572" spans="1:1" x14ac:dyDescent="0.25">
      <c r="A572" s="5" t="s">
        <v>111</v>
      </c>
    </row>
    <row r="573" spans="1:1" x14ac:dyDescent="0.25">
      <c r="A573" s="5" t="s">
        <v>131</v>
      </c>
    </row>
    <row r="574" spans="1:1" x14ac:dyDescent="0.25">
      <c r="A574" s="5" t="s">
        <v>112</v>
      </c>
    </row>
    <row r="575" spans="1:1" x14ac:dyDescent="0.25">
      <c r="A575" s="5" t="s">
        <v>138</v>
      </c>
    </row>
    <row r="576" spans="1:1" x14ac:dyDescent="0.25">
      <c r="A576" s="5" t="s">
        <v>90</v>
      </c>
    </row>
    <row r="577" spans="1:1" x14ac:dyDescent="0.25">
      <c r="A577" s="5" t="s">
        <v>131</v>
      </c>
    </row>
    <row r="578" spans="1:1" x14ac:dyDescent="0.25">
      <c r="A578" s="5" t="s">
        <v>129</v>
      </c>
    </row>
    <row r="579" spans="1:1" x14ac:dyDescent="0.25">
      <c r="A579" s="5" t="s">
        <v>112</v>
      </c>
    </row>
    <row r="580" spans="1:1" x14ac:dyDescent="0.25">
      <c r="A580" s="5" t="s">
        <v>111</v>
      </c>
    </row>
    <row r="581" spans="1:1" x14ac:dyDescent="0.25">
      <c r="A581" s="5" t="s">
        <v>123</v>
      </c>
    </row>
    <row r="582" spans="1:1" x14ac:dyDescent="0.25">
      <c r="A582" s="5" t="s">
        <v>138</v>
      </c>
    </row>
    <row r="583" spans="1:1" x14ac:dyDescent="0.25">
      <c r="A583" s="5" t="s">
        <v>137</v>
      </c>
    </row>
    <row r="584" spans="1:1" x14ac:dyDescent="0.25">
      <c r="A584" s="5" t="s">
        <v>111</v>
      </c>
    </row>
    <row r="585" spans="1:1" x14ac:dyDescent="0.25">
      <c r="A585" s="5" t="s">
        <v>131</v>
      </c>
    </row>
    <row r="586" spans="1:1" x14ac:dyDescent="0.25">
      <c r="A586" s="5" t="s">
        <v>112</v>
      </c>
    </row>
    <row r="587" spans="1:1" x14ac:dyDescent="0.25">
      <c r="A587" s="5" t="s">
        <v>138</v>
      </c>
    </row>
    <row r="588" spans="1:1" x14ac:dyDescent="0.25">
      <c r="A588" s="5" t="s">
        <v>123</v>
      </c>
    </row>
    <row r="589" spans="1:1" x14ac:dyDescent="0.25">
      <c r="A589" s="5" t="s">
        <v>136</v>
      </c>
    </row>
    <row r="590" spans="1:1" x14ac:dyDescent="0.25">
      <c r="A590" s="5" t="s">
        <v>112</v>
      </c>
    </row>
    <row r="591" spans="1:1" x14ac:dyDescent="0.25">
      <c r="A591" s="5" t="s">
        <v>123</v>
      </c>
    </row>
    <row r="592" spans="1:1" x14ac:dyDescent="0.25">
      <c r="A592" s="5" t="s">
        <v>138</v>
      </c>
    </row>
    <row r="593" spans="1:1" x14ac:dyDescent="0.25">
      <c r="A593" s="5" t="s">
        <v>90</v>
      </c>
    </row>
    <row r="594" spans="1:1" x14ac:dyDescent="0.25">
      <c r="A594" s="5" t="s">
        <v>129</v>
      </c>
    </row>
    <row r="595" spans="1:1" x14ac:dyDescent="0.25">
      <c r="A595" s="5" t="s">
        <v>136</v>
      </c>
    </row>
    <row r="596" spans="1:1" x14ac:dyDescent="0.25">
      <c r="A596" s="5" t="s">
        <v>137</v>
      </c>
    </row>
    <row r="597" spans="1:1" x14ac:dyDescent="0.25">
      <c r="A597" s="5" t="s">
        <v>112</v>
      </c>
    </row>
    <row r="598" spans="1:1" x14ac:dyDescent="0.25">
      <c r="A598" s="5" t="s">
        <v>129</v>
      </c>
    </row>
    <row r="599" spans="1:1" x14ac:dyDescent="0.25">
      <c r="A599" s="5" t="s">
        <v>139</v>
      </c>
    </row>
    <row r="600" spans="1:1" x14ac:dyDescent="0.25">
      <c r="A600" s="5" t="s">
        <v>90</v>
      </c>
    </row>
    <row r="601" spans="1:1" x14ac:dyDescent="0.25">
      <c r="A601" s="5" t="s">
        <v>136</v>
      </c>
    </row>
    <row r="602" spans="1:1" x14ac:dyDescent="0.25">
      <c r="A602" s="5" t="s">
        <v>137</v>
      </c>
    </row>
    <row r="603" spans="1:1" x14ac:dyDescent="0.25">
      <c r="A603" s="5" t="s">
        <v>131</v>
      </c>
    </row>
    <row r="604" spans="1:1" x14ac:dyDescent="0.25">
      <c r="A604" s="5" t="s">
        <v>112</v>
      </c>
    </row>
    <row r="605" spans="1:1" x14ac:dyDescent="0.25">
      <c r="A605" s="5" t="s">
        <v>138</v>
      </c>
    </row>
    <row r="606" spans="1:1" x14ac:dyDescent="0.25">
      <c r="A606" s="5" t="s">
        <v>139</v>
      </c>
    </row>
    <row r="607" spans="1:1" x14ac:dyDescent="0.25">
      <c r="A607" s="5" t="s">
        <v>129</v>
      </c>
    </row>
    <row r="608" spans="1:1" x14ac:dyDescent="0.25">
      <c r="A608" s="5" t="s">
        <v>131</v>
      </c>
    </row>
    <row r="609" spans="1:1" x14ac:dyDescent="0.25">
      <c r="A609" s="5" t="s">
        <v>112</v>
      </c>
    </row>
    <row r="610" spans="1:1" x14ac:dyDescent="0.25">
      <c r="A610" s="5" t="s">
        <v>138</v>
      </c>
    </row>
    <row r="611" spans="1:1" x14ac:dyDescent="0.25">
      <c r="A611" s="5" t="s">
        <v>139</v>
      </c>
    </row>
    <row r="612" spans="1:1" x14ac:dyDescent="0.25">
      <c r="A612" s="5" t="s">
        <v>136</v>
      </c>
    </row>
    <row r="613" spans="1:1" x14ac:dyDescent="0.25">
      <c r="A613" s="5" t="s">
        <v>131</v>
      </c>
    </row>
    <row r="614" spans="1:1" x14ac:dyDescent="0.25">
      <c r="A614" s="5" t="s">
        <v>112</v>
      </c>
    </row>
    <row r="615" spans="1:1" x14ac:dyDescent="0.25">
      <c r="A615" s="5" t="s">
        <v>136</v>
      </c>
    </row>
    <row r="616" spans="1:1" x14ac:dyDescent="0.25">
      <c r="A616" s="5" t="s">
        <v>137</v>
      </c>
    </row>
    <row r="617" spans="1:1" x14ac:dyDescent="0.25">
      <c r="A617" s="5" t="s">
        <v>136</v>
      </c>
    </row>
    <row r="618" spans="1:1" x14ac:dyDescent="0.25">
      <c r="A618" s="5" t="s">
        <v>112</v>
      </c>
    </row>
    <row r="619" spans="1:1" x14ac:dyDescent="0.25">
      <c r="A619" s="5" t="s">
        <v>137</v>
      </c>
    </row>
    <row r="620" spans="1:1" x14ac:dyDescent="0.25">
      <c r="A620" s="5" t="s">
        <v>137</v>
      </c>
    </row>
    <row r="621" spans="1:1" x14ac:dyDescent="0.25">
      <c r="A621" s="5" t="s">
        <v>120</v>
      </c>
    </row>
    <row r="622" spans="1:1" x14ac:dyDescent="0.25">
      <c r="A622" s="5" t="s">
        <v>136</v>
      </c>
    </row>
    <row r="623" spans="1:1" x14ac:dyDescent="0.25">
      <c r="A623" s="5" t="s">
        <v>131</v>
      </c>
    </row>
    <row r="624" spans="1:1" x14ac:dyDescent="0.25">
      <c r="A624" s="5" t="s">
        <v>137</v>
      </c>
    </row>
    <row r="625" spans="1:1" x14ac:dyDescent="0.25">
      <c r="A625" s="5" t="s">
        <v>136</v>
      </c>
    </row>
    <row r="626" spans="1:1" x14ac:dyDescent="0.25">
      <c r="A626" s="5" t="s">
        <v>131</v>
      </c>
    </row>
    <row r="627" spans="1:1" x14ac:dyDescent="0.25">
      <c r="A627" s="5" t="s">
        <v>91</v>
      </c>
    </row>
    <row r="628" spans="1:1" x14ac:dyDescent="0.25">
      <c r="A628" s="5" t="s">
        <v>120</v>
      </c>
    </row>
    <row r="629" spans="1:1" x14ac:dyDescent="0.25">
      <c r="A629" s="5" t="s">
        <v>137</v>
      </c>
    </row>
    <row r="630" spans="1:1" x14ac:dyDescent="0.25">
      <c r="A630" s="5" t="s">
        <v>131</v>
      </c>
    </row>
    <row r="631" spans="1:1" x14ac:dyDescent="0.25">
      <c r="A631" s="5" t="s">
        <v>136</v>
      </c>
    </row>
    <row r="632" spans="1:1" x14ac:dyDescent="0.25">
      <c r="A632" s="5" t="s">
        <v>137</v>
      </c>
    </row>
    <row r="633" spans="1:1" x14ac:dyDescent="0.25">
      <c r="A633" s="5" t="s">
        <v>17</v>
      </c>
    </row>
    <row r="634" spans="1:1" x14ac:dyDescent="0.25">
      <c r="A634" s="5" t="s">
        <v>136</v>
      </c>
    </row>
    <row r="635" spans="1:1" x14ac:dyDescent="0.25">
      <c r="A635" s="5" t="s">
        <v>17</v>
      </c>
    </row>
    <row r="636" spans="1:1" x14ac:dyDescent="0.25">
      <c r="A636" s="5" t="s">
        <v>137</v>
      </c>
    </row>
    <row r="637" spans="1:1" x14ac:dyDescent="0.25">
      <c r="A637" s="5" t="s">
        <v>136</v>
      </c>
    </row>
    <row r="638" spans="1:1" x14ac:dyDescent="0.25">
      <c r="A638" s="5" t="s">
        <v>17</v>
      </c>
    </row>
    <row r="639" spans="1:1" x14ac:dyDescent="0.25">
      <c r="A639" s="5" t="s">
        <v>137</v>
      </c>
    </row>
    <row r="640" spans="1:1" x14ac:dyDescent="0.25">
      <c r="A640" s="5" t="s">
        <v>120</v>
      </c>
    </row>
    <row r="641" spans="1:1" x14ac:dyDescent="0.25">
      <c r="A641" s="5" t="s">
        <v>91</v>
      </c>
    </row>
    <row r="642" spans="1:1" x14ac:dyDescent="0.25">
      <c r="A642" s="5" t="s">
        <v>136</v>
      </c>
    </row>
    <row r="643" spans="1:1" x14ac:dyDescent="0.25">
      <c r="A643" s="5" t="s">
        <v>137</v>
      </c>
    </row>
    <row r="644" spans="1:1" x14ac:dyDescent="0.25">
      <c r="A644" s="5" t="s">
        <v>120</v>
      </c>
    </row>
    <row r="645" spans="1:1" x14ac:dyDescent="0.25">
      <c r="A645" s="5" t="s">
        <v>70</v>
      </c>
    </row>
    <row r="646" spans="1:1" x14ac:dyDescent="0.25">
      <c r="A646" s="5" t="s">
        <v>100</v>
      </c>
    </row>
    <row r="647" spans="1:1" x14ac:dyDescent="0.25">
      <c r="A647" s="5" t="s">
        <v>136</v>
      </c>
    </row>
    <row r="648" spans="1:1" x14ac:dyDescent="0.25">
      <c r="A648" s="5" t="s">
        <v>70</v>
      </c>
    </row>
    <row r="649" spans="1:1" x14ac:dyDescent="0.25">
      <c r="A649" s="5" t="s">
        <v>100</v>
      </c>
    </row>
    <row r="650" spans="1:1" x14ac:dyDescent="0.25">
      <c r="A650" s="5" t="s">
        <v>120</v>
      </c>
    </row>
    <row r="651" spans="1:1" x14ac:dyDescent="0.25">
      <c r="A651" s="5" t="s">
        <v>137</v>
      </c>
    </row>
    <row r="652" spans="1:1" x14ac:dyDescent="0.25">
      <c r="A652" s="5" t="s">
        <v>136</v>
      </c>
    </row>
    <row r="653" spans="1:1" x14ac:dyDescent="0.25">
      <c r="A653" s="5" t="s">
        <v>70</v>
      </c>
    </row>
    <row r="654" spans="1:1" x14ac:dyDescent="0.25">
      <c r="A654" s="5" t="s">
        <v>100</v>
      </c>
    </row>
    <row r="655" spans="1:1" x14ac:dyDescent="0.25">
      <c r="A655" s="5" t="s">
        <v>137</v>
      </c>
    </row>
    <row r="656" spans="1:1" x14ac:dyDescent="0.25">
      <c r="A656" s="5" t="s">
        <v>136</v>
      </c>
    </row>
    <row r="657" spans="1:1" x14ac:dyDescent="0.25">
      <c r="A657" s="5" t="s">
        <v>70</v>
      </c>
    </row>
    <row r="658" spans="1:1" x14ac:dyDescent="0.25">
      <c r="A658" s="5" t="s">
        <v>137</v>
      </c>
    </row>
    <row r="659" spans="1:1" x14ac:dyDescent="0.25">
      <c r="A659" s="5" t="s">
        <v>18</v>
      </c>
    </row>
    <row r="660" spans="1:1" x14ac:dyDescent="0.25">
      <c r="A660" s="5" t="s">
        <v>136</v>
      </c>
    </row>
    <row r="661" spans="1:1" x14ac:dyDescent="0.25">
      <c r="A661" s="5" t="s">
        <v>70</v>
      </c>
    </row>
    <row r="662" spans="1:1" x14ac:dyDescent="0.25">
      <c r="A662" s="5" t="s">
        <v>18</v>
      </c>
    </row>
    <row r="663" spans="1:1" x14ac:dyDescent="0.25">
      <c r="A663" s="5" t="s">
        <v>137</v>
      </c>
    </row>
    <row r="664" spans="1:1" x14ac:dyDescent="0.25">
      <c r="A664" s="5" t="s">
        <v>136</v>
      </c>
    </row>
    <row r="665" spans="1:1" x14ac:dyDescent="0.25">
      <c r="A665" s="5" t="s">
        <v>70</v>
      </c>
    </row>
    <row r="666" spans="1:1" x14ac:dyDescent="0.25">
      <c r="A666" s="5" t="s">
        <v>18</v>
      </c>
    </row>
    <row r="667" spans="1:1" x14ac:dyDescent="0.25">
      <c r="A667" s="5" t="s">
        <v>137</v>
      </c>
    </row>
    <row r="668" spans="1:1" x14ac:dyDescent="0.25">
      <c r="A668" s="5" t="s">
        <v>100</v>
      </c>
    </row>
    <row r="669" spans="1:1" x14ac:dyDescent="0.25">
      <c r="A669" s="5" t="s">
        <v>136</v>
      </c>
    </row>
    <row r="670" spans="1:1" x14ac:dyDescent="0.25">
      <c r="A670" s="5" t="s">
        <v>70</v>
      </c>
    </row>
    <row r="671" spans="1:1" x14ac:dyDescent="0.25">
      <c r="A671" s="5" t="s">
        <v>17</v>
      </c>
    </row>
    <row r="672" spans="1:1" x14ac:dyDescent="0.25">
      <c r="A672" s="5" t="s">
        <v>140</v>
      </c>
    </row>
    <row r="673" spans="1:1" x14ac:dyDescent="0.25">
      <c r="A673" s="5" t="s">
        <v>137</v>
      </c>
    </row>
    <row r="674" spans="1:1" x14ac:dyDescent="0.25">
      <c r="A674" s="5" t="s">
        <v>100</v>
      </c>
    </row>
    <row r="675" spans="1:1" x14ac:dyDescent="0.25">
      <c r="A675" s="5" t="s">
        <v>70</v>
      </c>
    </row>
    <row r="676" spans="1:1" x14ac:dyDescent="0.25">
      <c r="A676" s="5" t="s">
        <v>136</v>
      </c>
    </row>
    <row r="677" spans="1:1" x14ac:dyDescent="0.25">
      <c r="A677" s="5" t="s">
        <v>140</v>
      </c>
    </row>
    <row r="678" spans="1:1" x14ac:dyDescent="0.25">
      <c r="A678" s="5" t="s">
        <v>137</v>
      </c>
    </row>
    <row r="679" spans="1:1" x14ac:dyDescent="0.25">
      <c r="A679" s="5" t="s">
        <v>100</v>
      </c>
    </row>
    <row r="680" spans="1:1" x14ac:dyDescent="0.25">
      <c r="A680" s="5" t="s">
        <v>17</v>
      </c>
    </row>
    <row r="681" spans="1:1" x14ac:dyDescent="0.25">
      <c r="A681" s="5" t="s">
        <v>136</v>
      </c>
    </row>
    <row r="682" spans="1:1" x14ac:dyDescent="0.25">
      <c r="A682" s="5" t="s">
        <v>18</v>
      </c>
    </row>
    <row r="683" spans="1:1" x14ac:dyDescent="0.25">
      <c r="A683" s="5" t="s">
        <v>140</v>
      </c>
    </row>
    <row r="684" spans="1:1" x14ac:dyDescent="0.25">
      <c r="A684" s="5" t="s">
        <v>137</v>
      </c>
    </row>
    <row r="685" spans="1:1" x14ac:dyDescent="0.25">
      <c r="A685" s="5" t="s">
        <v>136</v>
      </c>
    </row>
    <row r="686" spans="1:1" x14ac:dyDescent="0.25">
      <c r="A686" s="5" t="s">
        <v>18</v>
      </c>
    </row>
    <row r="687" spans="1:1" x14ac:dyDescent="0.25">
      <c r="A687" s="5" t="s">
        <v>137</v>
      </c>
    </row>
    <row r="688" spans="1:1" x14ac:dyDescent="0.25">
      <c r="A688" s="5" t="s">
        <v>132</v>
      </c>
    </row>
    <row r="689" spans="1:1" x14ac:dyDescent="0.25">
      <c r="A689" s="5" t="s">
        <v>77</v>
      </c>
    </row>
    <row r="690" spans="1:1" x14ac:dyDescent="0.25">
      <c r="A690" s="5" t="s">
        <v>136</v>
      </c>
    </row>
    <row r="691" spans="1:1" x14ac:dyDescent="0.25">
      <c r="A691" s="5" t="s">
        <v>140</v>
      </c>
    </row>
    <row r="692" spans="1:1" x14ac:dyDescent="0.25">
      <c r="A692" s="5" t="s">
        <v>18</v>
      </c>
    </row>
    <row r="693" spans="1:1" x14ac:dyDescent="0.25">
      <c r="A693" s="5" t="s">
        <v>137</v>
      </c>
    </row>
    <row r="694" spans="1:1" x14ac:dyDescent="0.25">
      <c r="A694" s="5" t="s">
        <v>136</v>
      </c>
    </row>
    <row r="695" spans="1:1" x14ac:dyDescent="0.25">
      <c r="A695" s="5" t="s">
        <v>77</v>
      </c>
    </row>
    <row r="696" spans="1:1" x14ac:dyDescent="0.25">
      <c r="A696" s="5" t="s">
        <v>140</v>
      </c>
    </row>
    <row r="697" spans="1:1" x14ac:dyDescent="0.25">
      <c r="A697" s="5" t="s">
        <v>132</v>
      </c>
    </row>
    <row r="698" spans="1:1" x14ac:dyDescent="0.25">
      <c r="A698" s="5" t="s">
        <v>137</v>
      </c>
    </row>
    <row r="699" spans="1:1" x14ac:dyDescent="0.25">
      <c r="A699" s="5" t="s">
        <v>77</v>
      </c>
    </row>
    <row r="700" spans="1:1" x14ac:dyDescent="0.25">
      <c r="A700" s="5" t="s">
        <v>140</v>
      </c>
    </row>
    <row r="701" spans="1:1" x14ac:dyDescent="0.25">
      <c r="A701" s="5" t="s">
        <v>132</v>
      </c>
    </row>
    <row r="702" spans="1:1" x14ac:dyDescent="0.25">
      <c r="A702" s="5" t="s">
        <v>71</v>
      </c>
    </row>
    <row r="703" spans="1:1" x14ac:dyDescent="0.25">
      <c r="A703" s="5" t="s">
        <v>136</v>
      </c>
    </row>
    <row r="704" spans="1:1" x14ac:dyDescent="0.25">
      <c r="A704" s="5" t="s">
        <v>137</v>
      </c>
    </row>
    <row r="705" spans="1:1" x14ac:dyDescent="0.25">
      <c r="A705" s="5" t="s">
        <v>141</v>
      </c>
    </row>
    <row r="706" spans="1:1" x14ac:dyDescent="0.25">
      <c r="A706" s="5" t="s">
        <v>141</v>
      </c>
    </row>
    <row r="707" spans="1:1" x14ac:dyDescent="0.25">
      <c r="A707" s="5" t="s">
        <v>71</v>
      </c>
    </row>
    <row r="708" spans="1:1" x14ac:dyDescent="0.25">
      <c r="A708" s="5" t="s">
        <v>137</v>
      </c>
    </row>
    <row r="709" spans="1:1" x14ac:dyDescent="0.25">
      <c r="A709" s="5" t="s">
        <v>132</v>
      </c>
    </row>
    <row r="710" spans="1:1" x14ac:dyDescent="0.25">
      <c r="A710" s="5" t="s">
        <v>141</v>
      </c>
    </row>
    <row r="711" spans="1:1" x14ac:dyDescent="0.25">
      <c r="A711" s="5" t="s">
        <v>71</v>
      </c>
    </row>
    <row r="712" spans="1:1" x14ac:dyDescent="0.25">
      <c r="A712" s="5" t="s">
        <v>136</v>
      </c>
    </row>
    <row r="713" spans="1:1" x14ac:dyDescent="0.25">
      <c r="A713" s="5" t="s">
        <v>132</v>
      </c>
    </row>
    <row r="714" spans="1:1" x14ac:dyDescent="0.25">
      <c r="A714" s="5" t="s">
        <v>137</v>
      </c>
    </row>
    <row r="715" spans="1:1" x14ac:dyDescent="0.25">
      <c r="A715" s="5" t="s">
        <v>17</v>
      </c>
    </row>
    <row r="716" spans="1:1" x14ac:dyDescent="0.25">
      <c r="A716" s="5" t="s">
        <v>141</v>
      </c>
    </row>
    <row r="717" spans="1:1" x14ac:dyDescent="0.25">
      <c r="A717" s="5" t="s">
        <v>132</v>
      </c>
    </row>
    <row r="718" spans="1:1" x14ac:dyDescent="0.25">
      <c r="A718" s="5" t="s">
        <v>136</v>
      </c>
    </row>
    <row r="719" spans="1:1" x14ac:dyDescent="0.25">
      <c r="A719" s="5" t="s">
        <v>137</v>
      </c>
    </row>
    <row r="720" spans="1:1" x14ac:dyDescent="0.25">
      <c r="A720" s="5" t="s">
        <v>141</v>
      </c>
    </row>
    <row r="721" spans="1:1" x14ac:dyDescent="0.25">
      <c r="A721" s="5" t="s">
        <v>141</v>
      </c>
    </row>
    <row r="722" spans="1:1" x14ac:dyDescent="0.25">
      <c r="A722" s="5" t="s">
        <v>129</v>
      </c>
    </row>
    <row r="723" spans="1:1" x14ac:dyDescent="0.25">
      <c r="A723" s="5" t="s">
        <v>72</v>
      </c>
    </row>
    <row r="724" spans="1:1" x14ac:dyDescent="0.25">
      <c r="A724" s="5" t="s">
        <v>136</v>
      </c>
    </row>
    <row r="725" spans="1:1" x14ac:dyDescent="0.25">
      <c r="A725" s="5" t="s">
        <v>137</v>
      </c>
    </row>
    <row r="726" spans="1:1" x14ac:dyDescent="0.25">
      <c r="A726" s="5" t="s">
        <v>71</v>
      </c>
    </row>
    <row r="727" spans="1:1" x14ac:dyDescent="0.25">
      <c r="A727" s="5" t="s">
        <v>129</v>
      </c>
    </row>
    <row r="728" spans="1:1" x14ac:dyDescent="0.25">
      <c r="A728" s="5" t="s">
        <v>136</v>
      </c>
    </row>
    <row r="729" spans="1:1" x14ac:dyDescent="0.25">
      <c r="A729" s="5" t="s">
        <v>72</v>
      </c>
    </row>
    <row r="730" spans="1:1" x14ac:dyDescent="0.25">
      <c r="A730" s="5" t="s">
        <v>71</v>
      </c>
    </row>
    <row r="731" spans="1:1" x14ac:dyDescent="0.25">
      <c r="A731" s="5" t="s">
        <v>136</v>
      </c>
    </row>
    <row r="732" spans="1:1" x14ac:dyDescent="0.25">
      <c r="A732" s="5" t="s">
        <v>72</v>
      </c>
    </row>
    <row r="733" spans="1:1" x14ac:dyDescent="0.25">
      <c r="A733" s="5" t="s">
        <v>71</v>
      </c>
    </row>
    <row r="734" spans="1:1" x14ac:dyDescent="0.25">
      <c r="A734" s="5" t="s">
        <v>137</v>
      </c>
    </row>
    <row r="735" spans="1:1" x14ac:dyDescent="0.25">
      <c r="A735" s="5" t="s">
        <v>142</v>
      </c>
    </row>
    <row r="736" spans="1:1" x14ac:dyDescent="0.25">
      <c r="A736" s="5" t="s">
        <v>136</v>
      </c>
    </row>
    <row r="737" spans="1:1" x14ac:dyDescent="0.25">
      <c r="A737" s="5" t="s">
        <v>137</v>
      </c>
    </row>
    <row r="738" spans="1:1" x14ac:dyDescent="0.25">
      <c r="A738" s="5" t="s">
        <v>143</v>
      </c>
    </row>
    <row r="739" spans="1:1" x14ac:dyDescent="0.25">
      <c r="A739" s="5" t="s">
        <v>136</v>
      </c>
    </row>
    <row r="740" spans="1:1" x14ac:dyDescent="0.25">
      <c r="A740" s="5" t="s">
        <v>129</v>
      </c>
    </row>
    <row r="741" spans="1:1" x14ac:dyDescent="0.25">
      <c r="A741" s="5" t="s">
        <v>137</v>
      </c>
    </row>
    <row r="742" spans="1:1" x14ac:dyDescent="0.25">
      <c r="A742" s="5" t="s">
        <v>131</v>
      </c>
    </row>
    <row r="743" spans="1:1" x14ac:dyDescent="0.25">
      <c r="A743" s="5" t="s">
        <v>143</v>
      </c>
    </row>
    <row r="744" spans="1:1" x14ac:dyDescent="0.25">
      <c r="A744" s="5" t="s">
        <v>71</v>
      </c>
    </row>
    <row r="745" spans="1:1" x14ac:dyDescent="0.25">
      <c r="A745" s="5" t="s">
        <v>136</v>
      </c>
    </row>
    <row r="746" spans="1:1" x14ac:dyDescent="0.25">
      <c r="A746" s="5" t="s">
        <v>137</v>
      </c>
    </row>
    <row r="747" spans="1:1" x14ac:dyDescent="0.25">
      <c r="A747" s="5" t="s">
        <v>72</v>
      </c>
    </row>
    <row r="748" spans="1:1" x14ac:dyDescent="0.25">
      <c r="A748" s="5" t="s">
        <v>131</v>
      </c>
    </row>
    <row r="749" spans="1:1" x14ac:dyDescent="0.25">
      <c r="A749" s="5" t="s">
        <v>143</v>
      </c>
    </row>
    <row r="750" spans="1:1" x14ac:dyDescent="0.25">
      <c r="A750" s="5" t="s">
        <v>71</v>
      </c>
    </row>
    <row r="751" spans="1:1" x14ac:dyDescent="0.25">
      <c r="A751" s="5" t="s">
        <v>136</v>
      </c>
    </row>
    <row r="752" spans="1:1" x14ac:dyDescent="0.25">
      <c r="A752" s="5" t="s">
        <v>72</v>
      </c>
    </row>
    <row r="753" spans="1:1" x14ac:dyDescent="0.25">
      <c r="A753" s="5" t="s">
        <v>131</v>
      </c>
    </row>
    <row r="754" spans="1:1" x14ac:dyDescent="0.25">
      <c r="A754" s="5" t="s">
        <v>137</v>
      </c>
    </row>
    <row r="755" spans="1:1" x14ac:dyDescent="0.25">
      <c r="A755" s="5" t="s">
        <v>143</v>
      </c>
    </row>
    <row r="756" spans="1:1" x14ac:dyDescent="0.25">
      <c r="A756" s="5" t="s">
        <v>72</v>
      </c>
    </row>
    <row r="757" spans="1:1" x14ac:dyDescent="0.25">
      <c r="A757" s="5" t="s">
        <v>136</v>
      </c>
    </row>
    <row r="758" spans="1:1" x14ac:dyDescent="0.25">
      <c r="A758" s="5" t="s">
        <v>137</v>
      </c>
    </row>
    <row r="759" spans="1:1" x14ac:dyDescent="0.25">
      <c r="A759" s="5" t="s">
        <v>143</v>
      </c>
    </row>
    <row r="760" spans="1:1" x14ac:dyDescent="0.25">
      <c r="A760" s="5" t="s">
        <v>143</v>
      </c>
    </row>
    <row r="761" spans="1:1" x14ac:dyDescent="0.25">
      <c r="A761" s="5" t="s">
        <v>143</v>
      </c>
    </row>
    <row r="762" spans="1:1" x14ac:dyDescent="0.25">
      <c r="A762" s="5" t="s">
        <v>136</v>
      </c>
    </row>
    <row r="763" spans="1:1" x14ac:dyDescent="0.25">
      <c r="A763" s="5" t="s">
        <v>137</v>
      </c>
    </row>
    <row r="764" spans="1:1" x14ac:dyDescent="0.25">
      <c r="A764" s="5" t="s">
        <v>131</v>
      </c>
    </row>
    <row r="765" spans="1:1" x14ac:dyDescent="0.25">
      <c r="A765" s="5" t="s">
        <v>136</v>
      </c>
    </row>
    <row r="766" spans="1:1" x14ac:dyDescent="0.25">
      <c r="A766" s="5" t="s">
        <v>72</v>
      </c>
    </row>
    <row r="767" spans="1:1" x14ac:dyDescent="0.25">
      <c r="A767" s="5" t="s">
        <v>71</v>
      </c>
    </row>
    <row r="768" spans="1:1" x14ac:dyDescent="0.25">
      <c r="A768" s="5" t="s">
        <v>137</v>
      </c>
    </row>
    <row r="769" spans="1:1" x14ac:dyDescent="0.25">
      <c r="A769" s="5" t="s">
        <v>136</v>
      </c>
    </row>
    <row r="770" spans="1:1" x14ac:dyDescent="0.25">
      <c r="A770" s="5" t="s">
        <v>71</v>
      </c>
    </row>
    <row r="771" spans="1:1" x14ac:dyDescent="0.25">
      <c r="A771" s="5" t="s">
        <v>72</v>
      </c>
    </row>
    <row r="772" spans="1:1" x14ac:dyDescent="0.25">
      <c r="A772" s="5" t="s">
        <v>137</v>
      </c>
    </row>
    <row r="773" spans="1:1" x14ac:dyDescent="0.25">
      <c r="A773" s="5" t="s">
        <v>72</v>
      </c>
    </row>
    <row r="774" spans="1:1" x14ac:dyDescent="0.25">
      <c r="A774" s="5" t="s">
        <v>136</v>
      </c>
    </row>
    <row r="775" spans="1:1" x14ac:dyDescent="0.25">
      <c r="A775" s="5" t="s">
        <v>137</v>
      </c>
    </row>
    <row r="776" spans="1:1" x14ac:dyDescent="0.25">
      <c r="A776" s="5" t="s">
        <v>18</v>
      </c>
    </row>
    <row r="777" spans="1:1" x14ac:dyDescent="0.25">
      <c r="A777" s="5" t="s">
        <v>136</v>
      </c>
    </row>
    <row r="778" spans="1:1" x14ac:dyDescent="0.25">
      <c r="A778" s="5" t="s">
        <v>137</v>
      </c>
    </row>
    <row r="779" spans="1:1" x14ac:dyDescent="0.25">
      <c r="A779" s="5" t="s">
        <v>18</v>
      </c>
    </row>
    <row r="780" spans="1:1" x14ac:dyDescent="0.25">
      <c r="A780" s="5" t="s">
        <v>136</v>
      </c>
    </row>
    <row r="781" spans="1:1" x14ac:dyDescent="0.25">
      <c r="A781" s="5" t="s">
        <v>137</v>
      </c>
    </row>
    <row r="782" spans="1:1" x14ac:dyDescent="0.25">
      <c r="A782" s="5" t="s">
        <v>18</v>
      </c>
    </row>
    <row r="783" spans="1:1" x14ac:dyDescent="0.25">
      <c r="A783" s="5" t="s">
        <v>72</v>
      </c>
    </row>
    <row r="784" spans="1:1" x14ac:dyDescent="0.25">
      <c r="A784" s="5" t="s">
        <v>136</v>
      </c>
    </row>
    <row r="785" spans="1:1" x14ac:dyDescent="0.25">
      <c r="A785" s="5" t="s">
        <v>72</v>
      </c>
    </row>
    <row r="786" spans="1:1" x14ac:dyDescent="0.25">
      <c r="A786" s="5" t="s">
        <v>137</v>
      </c>
    </row>
    <row r="787" spans="1:1" x14ac:dyDescent="0.25">
      <c r="A787" s="5" t="s">
        <v>17</v>
      </c>
    </row>
    <row r="788" spans="1:1" x14ac:dyDescent="0.25">
      <c r="A788" s="5" t="s">
        <v>132</v>
      </c>
    </row>
    <row r="789" spans="1:1" x14ac:dyDescent="0.25">
      <c r="A789" s="5" t="s">
        <v>132</v>
      </c>
    </row>
    <row r="790" spans="1:1" x14ac:dyDescent="0.25">
      <c r="A790" s="5" t="s">
        <v>137</v>
      </c>
    </row>
    <row r="791" spans="1:1" x14ac:dyDescent="0.25">
      <c r="A791" s="5" t="s">
        <v>136</v>
      </c>
    </row>
    <row r="792" spans="1:1" x14ac:dyDescent="0.25">
      <c r="A792" s="5" t="s">
        <v>107</v>
      </c>
    </row>
    <row r="793" spans="1:1" x14ac:dyDescent="0.25">
      <c r="A793" s="5" t="s">
        <v>18</v>
      </c>
    </row>
    <row r="794" spans="1:1" x14ac:dyDescent="0.25">
      <c r="A794" s="5" t="s">
        <v>137</v>
      </c>
    </row>
    <row r="795" spans="1:1" x14ac:dyDescent="0.25">
      <c r="A795" s="5" t="s">
        <v>136</v>
      </c>
    </row>
    <row r="796" spans="1:1" x14ac:dyDescent="0.25">
      <c r="A796" s="5" t="s">
        <v>137</v>
      </c>
    </row>
    <row r="797" spans="1:1" x14ac:dyDescent="0.25">
      <c r="A797" s="5" t="s">
        <v>109</v>
      </c>
    </row>
    <row r="798" spans="1:1" x14ac:dyDescent="0.25">
      <c r="A798" s="5" t="s">
        <v>132</v>
      </c>
    </row>
    <row r="799" spans="1:1" x14ac:dyDescent="0.25">
      <c r="A799" s="5" t="s">
        <v>136</v>
      </c>
    </row>
    <row r="800" spans="1:1" x14ac:dyDescent="0.25">
      <c r="A800" s="5" t="s">
        <v>137</v>
      </c>
    </row>
    <row r="801" spans="1:1" x14ac:dyDescent="0.25">
      <c r="A801" s="5" t="s">
        <v>126</v>
      </c>
    </row>
    <row r="802" spans="1:1" x14ac:dyDescent="0.25">
      <c r="A802" s="5" t="s">
        <v>136</v>
      </c>
    </row>
    <row r="803" spans="1:1" x14ac:dyDescent="0.25">
      <c r="A803" s="5" t="s">
        <v>123</v>
      </c>
    </row>
    <row r="804" spans="1:1" x14ac:dyDescent="0.25">
      <c r="A804" s="5" t="s">
        <v>137</v>
      </c>
    </row>
    <row r="805" spans="1:1" x14ac:dyDescent="0.25">
      <c r="A805" s="5" t="s">
        <v>123</v>
      </c>
    </row>
    <row r="806" spans="1:1" x14ac:dyDescent="0.25">
      <c r="A806" s="5" t="s">
        <v>136</v>
      </c>
    </row>
    <row r="807" spans="1:1" x14ac:dyDescent="0.25">
      <c r="A807" s="5" t="s">
        <v>137</v>
      </c>
    </row>
    <row r="808" spans="1:1" x14ac:dyDescent="0.25">
      <c r="A808" s="5" t="s">
        <v>136</v>
      </c>
    </row>
    <row r="809" spans="1:1" x14ac:dyDescent="0.25">
      <c r="A809" s="5" t="s">
        <v>137</v>
      </c>
    </row>
    <row r="810" spans="1:1" x14ac:dyDescent="0.25">
      <c r="A810" s="5" t="s">
        <v>136</v>
      </c>
    </row>
    <row r="811" spans="1:1" x14ac:dyDescent="0.25">
      <c r="A811" s="5" t="s">
        <v>17</v>
      </c>
    </row>
    <row r="812" spans="1:1" x14ac:dyDescent="0.25">
      <c r="A812" s="5" t="s">
        <v>137</v>
      </c>
    </row>
    <row r="813" spans="1:1" x14ac:dyDescent="0.25">
      <c r="A813" s="5" t="s">
        <v>136</v>
      </c>
    </row>
    <row r="814" spans="1:1" x14ac:dyDescent="0.25">
      <c r="A814" s="5" t="s">
        <v>137</v>
      </c>
    </row>
    <row r="815" spans="1:1" x14ac:dyDescent="0.25">
      <c r="A815" s="5" t="s">
        <v>136</v>
      </c>
    </row>
    <row r="816" spans="1:1" x14ac:dyDescent="0.25">
      <c r="A816" s="5" t="s">
        <v>70</v>
      </c>
    </row>
    <row r="817" spans="1:1" x14ac:dyDescent="0.25">
      <c r="A817" s="5" t="s">
        <v>112</v>
      </c>
    </row>
    <row r="818" spans="1:1" x14ac:dyDescent="0.25">
      <c r="A818" s="5" t="s">
        <v>137</v>
      </c>
    </row>
    <row r="819" spans="1:1" x14ac:dyDescent="0.25">
      <c r="A819" s="5" t="s">
        <v>136</v>
      </c>
    </row>
    <row r="820" spans="1:1" x14ac:dyDescent="0.25">
      <c r="A820" s="5" t="s">
        <v>70</v>
      </c>
    </row>
    <row r="821" spans="1:1" x14ac:dyDescent="0.25">
      <c r="A821" s="5" t="s">
        <v>111</v>
      </c>
    </row>
    <row r="822" spans="1:1" x14ac:dyDescent="0.25">
      <c r="A822" s="5" t="s">
        <v>137</v>
      </c>
    </row>
    <row r="823" spans="1:1" x14ac:dyDescent="0.25">
      <c r="A823" s="5" t="s">
        <v>112</v>
      </c>
    </row>
    <row r="824" spans="1:1" x14ac:dyDescent="0.25">
      <c r="A824" s="5" t="s">
        <v>91</v>
      </c>
    </row>
    <row r="825" spans="1:1" x14ac:dyDescent="0.25">
      <c r="A825" s="5" t="s">
        <v>70</v>
      </c>
    </row>
    <row r="826" spans="1:1" x14ac:dyDescent="0.25">
      <c r="A826" s="5" t="s">
        <v>136</v>
      </c>
    </row>
    <row r="827" spans="1:1" x14ac:dyDescent="0.25">
      <c r="A827" s="5" t="s">
        <v>137</v>
      </c>
    </row>
    <row r="828" spans="1:1" x14ac:dyDescent="0.25">
      <c r="A828" s="5" t="s">
        <v>112</v>
      </c>
    </row>
    <row r="829" spans="1:1" x14ac:dyDescent="0.25">
      <c r="A829" s="5" t="s">
        <v>136</v>
      </c>
    </row>
    <row r="830" spans="1:1" x14ac:dyDescent="0.25">
      <c r="A830" s="5" t="s">
        <v>137</v>
      </c>
    </row>
    <row r="831" spans="1:1" x14ac:dyDescent="0.25">
      <c r="A831" s="5" t="s">
        <v>136</v>
      </c>
    </row>
    <row r="832" spans="1:1" x14ac:dyDescent="0.25">
      <c r="A832" s="5" t="s">
        <v>137</v>
      </c>
    </row>
    <row r="833" spans="1:1" x14ac:dyDescent="0.25">
      <c r="A833" s="5" t="s">
        <v>136</v>
      </c>
    </row>
    <row r="834" spans="1:1" x14ac:dyDescent="0.25">
      <c r="A834" s="5" t="s">
        <v>137</v>
      </c>
    </row>
    <row r="835" spans="1:1" x14ac:dyDescent="0.25">
      <c r="A835" s="5" t="s">
        <v>136</v>
      </c>
    </row>
    <row r="836" spans="1:1" x14ac:dyDescent="0.25">
      <c r="A836" s="5" t="s">
        <v>18</v>
      </c>
    </row>
    <row r="837" spans="1:1" x14ac:dyDescent="0.25">
      <c r="A837" s="5" t="s">
        <v>137</v>
      </c>
    </row>
    <row r="838" spans="1:1" x14ac:dyDescent="0.25">
      <c r="A838" s="5" t="s">
        <v>136</v>
      </c>
    </row>
    <row r="839" spans="1:1" x14ac:dyDescent="0.25">
      <c r="A839" s="5" t="s">
        <v>18</v>
      </c>
    </row>
    <row r="840" spans="1:1" x14ac:dyDescent="0.25">
      <c r="A840" s="5" t="s">
        <v>137</v>
      </c>
    </row>
    <row r="841" spans="1:1" x14ac:dyDescent="0.25">
      <c r="A841" s="5" t="s">
        <v>136</v>
      </c>
    </row>
    <row r="842" spans="1:1" x14ac:dyDescent="0.25">
      <c r="A842" s="5" t="s">
        <v>137</v>
      </c>
    </row>
    <row r="843" spans="1:1" x14ac:dyDescent="0.25">
      <c r="A843" s="5" t="s">
        <v>137</v>
      </c>
    </row>
    <row r="844" spans="1:1" x14ac:dyDescent="0.25">
      <c r="A844" s="5" t="s">
        <v>136</v>
      </c>
    </row>
    <row r="845" spans="1:1" x14ac:dyDescent="0.25">
      <c r="A845" s="5" t="s">
        <v>17</v>
      </c>
    </row>
    <row r="846" spans="1:1" x14ac:dyDescent="0.25">
      <c r="A846" s="5" t="s">
        <v>142</v>
      </c>
    </row>
    <row r="847" spans="1:1" x14ac:dyDescent="0.25">
      <c r="A847" s="5" t="s">
        <v>71</v>
      </c>
    </row>
    <row r="848" spans="1:1" x14ac:dyDescent="0.25">
      <c r="A848" s="5" t="s">
        <v>137</v>
      </c>
    </row>
    <row r="849" spans="1:1" x14ac:dyDescent="0.25">
      <c r="A849" s="5" t="s">
        <v>143</v>
      </c>
    </row>
    <row r="850" spans="1:1" x14ac:dyDescent="0.25">
      <c r="A850" s="5" t="s">
        <v>136</v>
      </c>
    </row>
    <row r="851" spans="1:1" x14ac:dyDescent="0.25">
      <c r="A851" s="5" t="s">
        <v>71</v>
      </c>
    </row>
    <row r="852" spans="1:1" x14ac:dyDescent="0.25">
      <c r="A852" s="5" t="s">
        <v>137</v>
      </c>
    </row>
    <row r="853" spans="1:1" x14ac:dyDescent="0.25">
      <c r="A853" s="5" t="s">
        <v>72</v>
      </c>
    </row>
    <row r="854" spans="1:1" x14ac:dyDescent="0.25">
      <c r="A854" s="5" t="s">
        <v>136</v>
      </c>
    </row>
    <row r="855" spans="1:1" x14ac:dyDescent="0.25">
      <c r="A855" s="5" t="s">
        <v>71</v>
      </c>
    </row>
    <row r="856" spans="1:1" x14ac:dyDescent="0.25">
      <c r="A856" s="5" t="s">
        <v>137</v>
      </c>
    </row>
    <row r="857" spans="1:1" x14ac:dyDescent="0.25">
      <c r="A857" s="5" t="s">
        <v>72</v>
      </c>
    </row>
    <row r="858" spans="1:1" x14ac:dyDescent="0.25">
      <c r="A858" s="5" t="s">
        <v>136</v>
      </c>
    </row>
    <row r="859" spans="1:1" x14ac:dyDescent="0.25">
      <c r="A859" s="5" t="s">
        <v>137</v>
      </c>
    </row>
    <row r="860" spans="1:1" x14ac:dyDescent="0.25">
      <c r="A860" s="5" t="s">
        <v>72</v>
      </c>
    </row>
    <row r="861" spans="1:1" x14ac:dyDescent="0.25">
      <c r="A861" s="5" t="s">
        <v>136</v>
      </c>
    </row>
    <row r="862" spans="1:1" x14ac:dyDescent="0.25">
      <c r="A862" s="5" t="s">
        <v>137</v>
      </c>
    </row>
    <row r="863" spans="1:1" x14ac:dyDescent="0.25">
      <c r="A863" s="5" t="s">
        <v>18</v>
      </c>
    </row>
    <row r="864" spans="1:1" x14ac:dyDescent="0.25">
      <c r="A864" s="5" t="s">
        <v>132</v>
      </c>
    </row>
    <row r="865" spans="1:1" x14ac:dyDescent="0.25">
      <c r="A865" s="5" t="s">
        <v>136</v>
      </c>
    </row>
    <row r="866" spans="1:1" x14ac:dyDescent="0.25">
      <c r="A866" s="5" t="s">
        <v>18</v>
      </c>
    </row>
    <row r="867" spans="1:1" x14ac:dyDescent="0.25">
      <c r="A867" s="5" t="s">
        <v>137</v>
      </c>
    </row>
    <row r="868" spans="1:1" x14ac:dyDescent="0.25">
      <c r="A868" s="5" t="s">
        <v>136</v>
      </c>
    </row>
    <row r="869" spans="1:1" x14ac:dyDescent="0.25">
      <c r="A869" s="5" t="s">
        <v>132</v>
      </c>
    </row>
    <row r="870" spans="1:1" x14ac:dyDescent="0.25">
      <c r="A870" s="5" t="s">
        <v>18</v>
      </c>
    </row>
    <row r="871" spans="1:1" x14ac:dyDescent="0.25">
      <c r="A871" s="5" t="s">
        <v>137</v>
      </c>
    </row>
    <row r="872" spans="1:1" x14ac:dyDescent="0.25">
      <c r="A872" s="5" t="s">
        <v>136</v>
      </c>
    </row>
    <row r="873" spans="1:1" x14ac:dyDescent="0.25">
      <c r="A873" s="5" t="s">
        <v>132</v>
      </c>
    </row>
    <row r="874" spans="1:1" x14ac:dyDescent="0.25">
      <c r="A874" s="5" t="s">
        <v>137</v>
      </c>
    </row>
    <row r="875" spans="1:1" x14ac:dyDescent="0.25">
      <c r="A875" s="5" t="s">
        <v>136</v>
      </c>
    </row>
    <row r="876" spans="1:1" x14ac:dyDescent="0.25">
      <c r="A876" s="5" t="s">
        <v>17</v>
      </c>
    </row>
    <row r="877" spans="1:1" x14ac:dyDescent="0.25">
      <c r="A877" s="5" t="s">
        <v>137</v>
      </c>
    </row>
    <row r="878" spans="1:1" x14ac:dyDescent="0.25">
      <c r="A878" s="5" t="s">
        <v>136</v>
      </c>
    </row>
    <row r="879" spans="1:1" x14ac:dyDescent="0.25">
      <c r="A879" s="5" t="s">
        <v>116</v>
      </c>
    </row>
    <row r="880" spans="1:1" x14ac:dyDescent="0.25">
      <c r="A880" s="5" t="s">
        <v>137</v>
      </c>
    </row>
    <row r="881" spans="1:1" x14ac:dyDescent="0.25">
      <c r="A881" s="5" t="s">
        <v>117</v>
      </c>
    </row>
    <row r="882" spans="1:1" x14ac:dyDescent="0.25">
      <c r="A882" s="5" t="s">
        <v>116</v>
      </c>
    </row>
    <row r="883" spans="1:1" x14ac:dyDescent="0.25">
      <c r="A883" s="5" t="s">
        <v>117</v>
      </c>
    </row>
    <row r="884" spans="1:1" x14ac:dyDescent="0.25">
      <c r="A884" s="5" t="s">
        <v>137</v>
      </c>
    </row>
    <row r="885" spans="1:1" x14ac:dyDescent="0.25">
      <c r="A885" s="5" t="s">
        <v>136</v>
      </c>
    </row>
    <row r="886" spans="1:1" x14ac:dyDescent="0.25">
      <c r="A886" s="5" t="s">
        <v>116</v>
      </c>
    </row>
    <row r="887" spans="1:1" x14ac:dyDescent="0.25">
      <c r="A887" s="5" t="s">
        <v>117</v>
      </c>
    </row>
    <row r="888" spans="1:1" x14ac:dyDescent="0.25">
      <c r="A888" s="5" t="s">
        <v>136</v>
      </c>
    </row>
    <row r="889" spans="1:1" x14ac:dyDescent="0.25">
      <c r="A889" s="5" t="s">
        <v>137</v>
      </c>
    </row>
    <row r="890" spans="1:1" x14ac:dyDescent="0.25">
      <c r="A890" s="5" t="s">
        <v>116</v>
      </c>
    </row>
    <row r="891" spans="1:1" x14ac:dyDescent="0.25">
      <c r="A891" s="5" t="s">
        <v>117</v>
      </c>
    </row>
    <row r="892" spans="1:1" x14ac:dyDescent="0.25">
      <c r="A892" s="5" t="s">
        <v>136</v>
      </c>
    </row>
    <row r="893" spans="1:1" x14ac:dyDescent="0.25">
      <c r="A893" s="5" t="s">
        <v>137</v>
      </c>
    </row>
    <row r="894" spans="1:1" x14ac:dyDescent="0.25">
      <c r="A894" s="5" t="s">
        <v>137</v>
      </c>
    </row>
    <row r="895" spans="1:1" x14ac:dyDescent="0.25">
      <c r="A895" s="5" t="s">
        <v>88</v>
      </c>
    </row>
    <row r="896" spans="1:1" x14ac:dyDescent="0.25">
      <c r="A896" s="5" t="s">
        <v>137</v>
      </c>
    </row>
    <row r="897" spans="1:1" x14ac:dyDescent="0.25">
      <c r="A897" s="5" t="s">
        <v>136</v>
      </c>
    </row>
    <row r="898" spans="1:1" x14ac:dyDescent="0.25">
      <c r="A898" s="5" t="s">
        <v>137</v>
      </c>
    </row>
    <row r="899" spans="1:1" x14ac:dyDescent="0.25">
      <c r="A899" s="5" t="s">
        <v>136</v>
      </c>
    </row>
    <row r="900" spans="1:1" x14ac:dyDescent="0.25">
      <c r="A900" s="5" t="s">
        <v>91</v>
      </c>
    </row>
    <row r="901" spans="1:1" x14ac:dyDescent="0.25">
      <c r="A901" s="5" t="s">
        <v>130</v>
      </c>
    </row>
    <row r="902" spans="1:1" x14ac:dyDescent="0.25">
      <c r="A902" s="5" t="s">
        <v>109</v>
      </c>
    </row>
    <row r="903" spans="1:1" x14ac:dyDescent="0.25">
      <c r="A903" s="5" t="s">
        <v>136</v>
      </c>
    </row>
    <row r="904" spans="1:1" x14ac:dyDescent="0.25">
      <c r="A904" s="5" t="s">
        <v>70</v>
      </c>
    </row>
    <row r="905" spans="1:1" x14ac:dyDescent="0.25">
      <c r="A905" s="5" t="s">
        <v>70</v>
      </c>
    </row>
    <row r="906" spans="1:1" x14ac:dyDescent="0.25">
      <c r="A906" s="5" t="s">
        <v>136</v>
      </c>
    </row>
    <row r="907" spans="1:1" x14ac:dyDescent="0.25">
      <c r="A907" s="5" t="s">
        <v>70</v>
      </c>
    </row>
    <row r="908" spans="1:1" x14ac:dyDescent="0.25">
      <c r="A908" s="5" t="s">
        <v>137</v>
      </c>
    </row>
    <row r="909" spans="1:1" x14ac:dyDescent="0.25">
      <c r="A909" s="5" t="s">
        <v>136</v>
      </c>
    </row>
    <row r="910" spans="1:1" x14ac:dyDescent="0.25">
      <c r="A910" s="5" t="s">
        <v>137</v>
      </c>
    </row>
    <row r="911" spans="1:1" x14ac:dyDescent="0.25">
      <c r="A911" s="5" t="s">
        <v>91</v>
      </c>
    </row>
    <row r="912" spans="1:1" x14ac:dyDescent="0.25">
      <c r="A912" s="5" t="s">
        <v>137</v>
      </c>
    </row>
    <row r="913" spans="1:1" x14ac:dyDescent="0.25">
      <c r="A913" s="5" t="s">
        <v>136</v>
      </c>
    </row>
    <row r="914" spans="1:1" x14ac:dyDescent="0.25">
      <c r="A914" s="5" t="s">
        <v>136</v>
      </c>
    </row>
    <row r="915" spans="1:1" x14ac:dyDescent="0.25">
      <c r="A915" s="5" t="s">
        <v>70</v>
      </c>
    </row>
    <row r="916" spans="1:1" x14ac:dyDescent="0.25">
      <c r="A916" s="5" t="s">
        <v>137</v>
      </c>
    </row>
    <row r="917" spans="1:1" x14ac:dyDescent="0.25">
      <c r="A917" s="5" t="s">
        <v>136</v>
      </c>
    </row>
    <row r="918" spans="1:1" x14ac:dyDescent="0.25">
      <c r="A918" s="5" t="s">
        <v>70</v>
      </c>
    </row>
    <row r="919" spans="1:1" x14ac:dyDescent="0.25">
      <c r="A919" s="5" t="s">
        <v>137</v>
      </c>
    </row>
    <row r="920" spans="1:1" x14ac:dyDescent="0.25">
      <c r="A920" s="5" t="s">
        <v>107</v>
      </c>
    </row>
    <row r="921" spans="1:1" x14ac:dyDescent="0.25">
      <c r="A921" s="5" t="s">
        <v>137</v>
      </c>
    </row>
    <row r="922" spans="1:1" x14ac:dyDescent="0.25">
      <c r="A922" s="5" t="s">
        <v>109</v>
      </c>
    </row>
    <row r="923" spans="1:1" x14ac:dyDescent="0.25">
      <c r="A923" s="5" t="s">
        <v>91</v>
      </c>
    </row>
    <row r="924" spans="1:1" x14ac:dyDescent="0.25">
      <c r="A924" s="5" t="s">
        <v>137</v>
      </c>
    </row>
    <row r="925" spans="1:1" x14ac:dyDescent="0.25">
      <c r="A925" s="5" t="s">
        <v>70</v>
      </c>
    </row>
    <row r="926" spans="1:1" x14ac:dyDescent="0.25">
      <c r="A926" s="5" t="s">
        <v>91</v>
      </c>
    </row>
    <row r="927" spans="1:1" x14ac:dyDescent="0.25">
      <c r="A927" s="5" t="s">
        <v>137</v>
      </c>
    </row>
    <row r="928" spans="1:1" x14ac:dyDescent="0.25">
      <c r="A928" s="5" t="s">
        <v>136</v>
      </c>
    </row>
    <row r="929" spans="1:1" x14ac:dyDescent="0.25">
      <c r="A929" s="5" t="s">
        <v>17</v>
      </c>
    </row>
    <row r="930" spans="1:1" x14ac:dyDescent="0.25">
      <c r="A930" s="5" t="s">
        <v>70</v>
      </c>
    </row>
    <row r="931" spans="1:1" x14ac:dyDescent="0.25">
      <c r="A931" s="5" t="s">
        <v>91</v>
      </c>
    </row>
    <row r="932" spans="1:1" x14ac:dyDescent="0.25">
      <c r="A932" s="5" t="s">
        <v>137</v>
      </c>
    </row>
    <row r="933" spans="1:1" x14ac:dyDescent="0.25">
      <c r="A933" s="5" t="s">
        <v>136</v>
      </c>
    </row>
    <row r="934" spans="1:1" x14ac:dyDescent="0.25">
      <c r="A934" s="5" t="s">
        <v>70</v>
      </c>
    </row>
    <row r="935" spans="1:1" x14ac:dyDescent="0.25">
      <c r="A935" s="5" t="s">
        <v>136</v>
      </c>
    </row>
    <row r="936" spans="1:1" x14ac:dyDescent="0.25">
      <c r="A936" s="5" t="s">
        <v>136</v>
      </c>
    </row>
    <row r="937" spans="1:1" x14ac:dyDescent="0.25">
      <c r="A937" s="5" t="s">
        <v>137</v>
      </c>
    </row>
    <row r="938" spans="1:1" x14ac:dyDescent="0.25">
      <c r="A938" s="5" t="s">
        <v>136</v>
      </c>
    </row>
    <row r="939" spans="1:1" x14ac:dyDescent="0.25">
      <c r="A939" s="5" t="s">
        <v>137</v>
      </c>
    </row>
    <row r="940" spans="1:1" x14ac:dyDescent="0.25">
      <c r="A940" s="5" t="s">
        <v>136</v>
      </c>
    </row>
    <row r="941" spans="1:1" x14ac:dyDescent="0.25">
      <c r="A941" s="5" t="s">
        <v>137</v>
      </c>
    </row>
    <row r="942" spans="1:1" x14ac:dyDescent="0.25">
      <c r="A942" s="5" t="s">
        <v>144</v>
      </c>
    </row>
    <row r="943" spans="1:1" x14ac:dyDescent="0.25">
      <c r="A943" s="5" t="s">
        <v>136</v>
      </c>
    </row>
    <row r="944" spans="1:1" x14ac:dyDescent="0.25">
      <c r="A944" s="5" t="s">
        <v>136</v>
      </c>
    </row>
    <row r="945" spans="1:1" x14ac:dyDescent="0.25">
      <c r="A945" s="5" t="s">
        <v>137</v>
      </c>
    </row>
    <row r="946" spans="1:1" x14ac:dyDescent="0.25">
      <c r="A946" s="5" t="s">
        <v>145</v>
      </c>
    </row>
    <row r="947" spans="1:1" x14ac:dyDescent="0.25">
      <c r="A947" s="5" t="s">
        <v>136</v>
      </c>
    </row>
    <row r="948" spans="1:1" x14ac:dyDescent="0.25">
      <c r="A948" s="5" t="s">
        <v>144</v>
      </c>
    </row>
    <row r="949" spans="1:1" x14ac:dyDescent="0.25">
      <c r="A949" s="5" t="s">
        <v>137</v>
      </c>
    </row>
    <row r="950" spans="1:1" x14ac:dyDescent="0.25">
      <c r="A950" s="5" t="s">
        <v>137</v>
      </c>
    </row>
    <row r="951" spans="1:1" x14ac:dyDescent="0.25">
      <c r="A951" s="5" t="s">
        <v>137</v>
      </c>
    </row>
    <row r="952" spans="1:1" x14ac:dyDescent="0.25">
      <c r="A952" s="5" t="s">
        <v>137</v>
      </c>
    </row>
    <row r="953" spans="1:1" x14ac:dyDescent="0.25">
      <c r="A953" s="5" t="s">
        <v>136</v>
      </c>
    </row>
    <row r="954" spans="1:1" x14ac:dyDescent="0.25">
      <c r="A954" s="5" t="s">
        <v>137</v>
      </c>
    </row>
    <row r="955" spans="1:1" x14ac:dyDescent="0.25">
      <c r="A955" s="5" t="s">
        <v>107</v>
      </c>
    </row>
    <row r="956" spans="1:1" x14ac:dyDescent="0.25">
      <c r="A956" s="5" t="s">
        <v>136</v>
      </c>
    </row>
    <row r="957" spans="1:1" x14ac:dyDescent="0.25">
      <c r="A957" s="5" t="s">
        <v>107</v>
      </c>
    </row>
    <row r="958" spans="1:1" x14ac:dyDescent="0.25">
      <c r="A958" s="5" t="s">
        <v>109</v>
      </c>
    </row>
    <row r="959" spans="1:1" x14ac:dyDescent="0.25">
      <c r="A959" s="5" t="s">
        <v>136</v>
      </c>
    </row>
    <row r="960" spans="1:1" x14ac:dyDescent="0.25">
      <c r="A960" s="5" t="s">
        <v>109</v>
      </c>
    </row>
    <row r="961" spans="1:1" x14ac:dyDescent="0.25">
      <c r="A961" s="5" t="s">
        <v>136</v>
      </c>
    </row>
    <row r="962" spans="1:1" x14ac:dyDescent="0.25">
      <c r="A962" s="5" t="s">
        <v>136</v>
      </c>
    </row>
    <row r="963" spans="1:1" x14ac:dyDescent="0.25">
      <c r="A963" s="5" t="s">
        <v>71</v>
      </c>
    </row>
    <row r="964" spans="1:1" x14ac:dyDescent="0.25">
      <c r="A964" s="5" t="s">
        <v>137</v>
      </c>
    </row>
    <row r="965" spans="1:1" x14ac:dyDescent="0.25">
      <c r="A965" s="5" t="s">
        <v>136</v>
      </c>
    </row>
    <row r="966" spans="1:1" x14ac:dyDescent="0.25">
      <c r="A966" s="5" t="s">
        <v>71</v>
      </c>
    </row>
    <row r="967" spans="1:1" x14ac:dyDescent="0.25">
      <c r="A967" s="5" t="s">
        <v>72</v>
      </c>
    </row>
    <row r="968" spans="1:1" x14ac:dyDescent="0.25">
      <c r="A968" s="5" t="s">
        <v>137</v>
      </c>
    </row>
    <row r="969" spans="1:1" x14ac:dyDescent="0.25">
      <c r="A969" s="5" t="s">
        <v>72</v>
      </c>
    </row>
    <row r="970" spans="1:1" x14ac:dyDescent="0.25">
      <c r="A970" s="5" t="s">
        <v>137</v>
      </c>
    </row>
    <row r="971" spans="1:1" x14ac:dyDescent="0.25">
      <c r="A971" s="5" t="s">
        <v>136</v>
      </c>
    </row>
    <row r="972" spans="1:1" x14ac:dyDescent="0.25">
      <c r="A972" s="5" t="s">
        <v>137</v>
      </c>
    </row>
    <row r="973" spans="1:1" x14ac:dyDescent="0.25">
      <c r="A973" s="5" t="s">
        <v>17</v>
      </c>
    </row>
    <row r="974" spans="1:1" x14ac:dyDescent="0.25">
      <c r="A974" s="5" t="s">
        <v>136</v>
      </c>
    </row>
    <row r="975" spans="1:1" x14ac:dyDescent="0.25">
      <c r="A975" s="5" t="s">
        <v>137</v>
      </c>
    </row>
    <row r="976" spans="1:1" x14ac:dyDescent="0.25">
      <c r="A976" s="5" t="s">
        <v>136</v>
      </c>
    </row>
    <row r="977" spans="1:1" x14ac:dyDescent="0.25">
      <c r="A977" s="5" t="s">
        <v>137</v>
      </c>
    </row>
    <row r="978" spans="1:1" x14ac:dyDescent="0.25">
      <c r="A978" s="5" t="s">
        <v>137</v>
      </c>
    </row>
    <row r="979" spans="1:1" x14ac:dyDescent="0.25">
      <c r="A979" s="5" t="s">
        <v>136</v>
      </c>
    </row>
    <row r="980" spans="1:1" x14ac:dyDescent="0.25">
      <c r="A980" s="5" t="s">
        <v>137</v>
      </c>
    </row>
    <row r="981" spans="1:1" x14ac:dyDescent="0.25">
      <c r="A981" s="5" t="s">
        <v>136</v>
      </c>
    </row>
    <row r="982" spans="1:1" x14ac:dyDescent="0.25">
      <c r="A982" s="5" t="s">
        <v>70</v>
      </c>
    </row>
    <row r="983" spans="1:1" x14ac:dyDescent="0.25">
      <c r="A983" s="5" t="s">
        <v>137</v>
      </c>
    </row>
    <row r="984" spans="1:1" x14ac:dyDescent="0.25">
      <c r="A984" s="5" t="s">
        <v>136</v>
      </c>
    </row>
    <row r="985" spans="1:1" x14ac:dyDescent="0.25">
      <c r="A985" s="5" t="s">
        <v>91</v>
      </c>
    </row>
    <row r="986" spans="1:1" x14ac:dyDescent="0.25">
      <c r="A986" s="5" t="s">
        <v>70</v>
      </c>
    </row>
    <row r="987" spans="1:1" x14ac:dyDescent="0.25">
      <c r="A987" s="5" t="s">
        <v>17</v>
      </c>
    </row>
    <row r="988" spans="1:1" x14ac:dyDescent="0.25">
      <c r="A988" s="5" t="s">
        <v>70</v>
      </c>
    </row>
    <row r="989" spans="1:1" x14ac:dyDescent="0.25">
      <c r="A989" s="5" t="s">
        <v>136</v>
      </c>
    </row>
    <row r="990" spans="1:1" x14ac:dyDescent="0.25">
      <c r="A990" s="5" t="s">
        <v>136</v>
      </c>
    </row>
    <row r="991" spans="1:1" x14ac:dyDescent="0.25">
      <c r="A991" s="5" t="s">
        <v>137</v>
      </c>
    </row>
    <row r="992" spans="1:1" x14ac:dyDescent="0.25">
      <c r="A992" s="5" t="s">
        <v>136</v>
      </c>
    </row>
    <row r="993" spans="1:1" x14ac:dyDescent="0.25">
      <c r="A993" s="5" t="s">
        <v>137</v>
      </c>
    </row>
    <row r="994" spans="1:1" x14ac:dyDescent="0.25">
      <c r="A994" s="5" t="s">
        <v>83</v>
      </c>
    </row>
    <row r="995" spans="1:1" x14ac:dyDescent="0.25">
      <c r="A995" s="5" t="s">
        <v>83</v>
      </c>
    </row>
    <row r="996" spans="1:1" x14ac:dyDescent="0.25">
      <c r="A996" s="5" t="s">
        <v>85</v>
      </c>
    </row>
    <row r="997" spans="1:1" x14ac:dyDescent="0.25">
      <c r="A997" s="5" t="s">
        <v>137</v>
      </c>
    </row>
    <row r="998" spans="1:1" x14ac:dyDescent="0.25">
      <c r="A998" s="5" t="s">
        <v>136</v>
      </c>
    </row>
    <row r="999" spans="1:1" x14ac:dyDescent="0.25">
      <c r="A999" s="5" t="s">
        <v>85</v>
      </c>
    </row>
    <row r="1000" spans="1:1" x14ac:dyDescent="0.25">
      <c r="A1000" s="5" t="s">
        <v>137</v>
      </c>
    </row>
    <row r="1001" spans="1:1" x14ac:dyDescent="0.25">
      <c r="A1001" s="5" t="s">
        <v>136</v>
      </c>
    </row>
    <row r="1002" spans="1:1" x14ac:dyDescent="0.25">
      <c r="A1002" s="5" t="s">
        <v>137</v>
      </c>
    </row>
    <row r="1003" spans="1:1" x14ac:dyDescent="0.25">
      <c r="A1003" s="5" t="s">
        <v>136</v>
      </c>
    </row>
    <row r="1004" spans="1:1" x14ac:dyDescent="0.25">
      <c r="A1004" s="5" t="s">
        <v>146</v>
      </c>
    </row>
    <row r="1005" spans="1:1" x14ac:dyDescent="0.25">
      <c r="A1005" s="5" t="s">
        <v>136</v>
      </c>
    </row>
    <row r="1006" spans="1:1" x14ac:dyDescent="0.25">
      <c r="A1006" s="5" t="s">
        <v>137</v>
      </c>
    </row>
    <row r="1007" spans="1:1" x14ac:dyDescent="0.25">
      <c r="A1007" s="5" t="s">
        <v>136</v>
      </c>
    </row>
    <row r="1008" spans="1:1" x14ac:dyDescent="0.25">
      <c r="A1008" s="5" t="s">
        <v>137</v>
      </c>
    </row>
    <row r="1009" spans="1:1" x14ac:dyDescent="0.25">
      <c r="A1009" s="5" t="s">
        <v>136</v>
      </c>
    </row>
    <row r="1010" spans="1:1" x14ac:dyDescent="0.25">
      <c r="A1010" s="5" t="s">
        <v>137</v>
      </c>
    </row>
    <row r="1011" spans="1:1" x14ac:dyDescent="0.25">
      <c r="A1011" s="5" t="s">
        <v>17</v>
      </c>
    </row>
    <row r="1012" spans="1:1" x14ac:dyDescent="0.25">
      <c r="A1012" s="5" t="s">
        <v>71</v>
      </c>
    </row>
    <row r="1013" spans="1:1" x14ac:dyDescent="0.25">
      <c r="A1013" s="5" t="s">
        <v>137</v>
      </c>
    </row>
    <row r="1014" spans="1:1" x14ac:dyDescent="0.25">
      <c r="A1014" s="5" t="s">
        <v>71</v>
      </c>
    </row>
    <row r="1015" spans="1:1" x14ac:dyDescent="0.25">
      <c r="A1015" s="5" t="s">
        <v>137</v>
      </c>
    </row>
    <row r="1016" spans="1:1" x14ac:dyDescent="0.25">
      <c r="A1016" s="5" t="s">
        <v>136</v>
      </c>
    </row>
    <row r="1017" spans="1:1" x14ac:dyDescent="0.25">
      <c r="A1017" s="5" t="s">
        <v>71</v>
      </c>
    </row>
    <row r="1018" spans="1:1" x14ac:dyDescent="0.25">
      <c r="A1018" s="5" t="s">
        <v>137</v>
      </c>
    </row>
    <row r="1019" spans="1:1" x14ac:dyDescent="0.25">
      <c r="A1019" s="5" t="s">
        <v>72</v>
      </c>
    </row>
    <row r="1020" spans="1:1" x14ac:dyDescent="0.25">
      <c r="A1020" s="5" t="s">
        <v>136</v>
      </c>
    </row>
    <row r="1021" spans="1:1" x14ac:dyDescent="0.25">
      <c r="A1021" s="5" t="s">
        <v>72</v>
      </c>
    </row>
    <row r="1022" spans="1:1" x14ac:dyDescent="0.25">
      <c r="A1022" s="5" t="s">
        <v>17</v>
      </c>
    </row>
    <row r="1023" spans="1:1" x14ac:dyDescent="0.25">
      <c r="A1023" s="5" t="s">
        <v>17</v>
      </c>
    </row>
    <row r="1024" spans="1:1" x14ac:dyDescent="0.25">
      <c r="A1024" s="5" t="s">
        <v>137</v>
      </c>
    </row>
    <row r="1025" spans="1:1" x14ac:dyDescent="0.25">
      <c r="A1025" s="5" t="s">
        <v>136</v>
      </c>
    </row>
    <row r="1026" spans="1:1" x14ac:dyDescent="0.25">
      <c r="A1026" s="5" t="s">
        <v>137</v>
      </c>
    </row>
    <row r="1027" spans="1:1" x14ac:dyDescent="0.25">
      <c r="A1027" s="5" t="s">
        <v>136</v>
      </c>
    </row>
    <row r="1028" spans="1:1" x14ac:dyDescent="0.25">
      <c r="A1028" s="5" t="s">
        <v>103</v>
      </c>
    </row>
    <row r="1029" spans="1:1" x14ac:dyDescent="0.25">
      <c r="A1029" s="5" t="s">
        <v>137</v>
      </c>
    </row>
    <row r="1030" spans="1:1" x14ac:dyDescent="0.25">
      <c r="A1030" s="5" t="s">
        <v>104</v>
      </c>
    </row>
    <row r="1031" spans="1:1" x14ac:dyDescent="0.25">
      <c r="A1031" s="5" t="s">
        <v>137</v>
      </c>
    </row>
    <row r="1032" spans="1:1" x14ac:dyDescent="0.25">
      <c r="A1032" s="5" t="s">
        <v>104</v>
      </c>
    </row>
    <row r="1033" spans="1:1" x14ac:dyDescent="0.25">
      <c r="A1033" s="5" t="s">
        <v>136</v>
      </c>
    </row>
    <row r="1034" spans="1:1" x14ac:dyDescent="0.25">
      <c r="A1034" s="5" t="s">
        <v>103</v>
      </c>
    </row>
    <row r="1035" spans="1:1" x14ac:dyDescent="0.25">
      <c r="A1035" s="5" t="s">
        <v>104</v>
      </c>
    </row>
    <row r="1036" spans="1:1" x14ac:dyDescent="0.25">
      <c r="A1036" s="5" t="s">
        <v>136</v>
      </c>
    </row>
    <row r="1037" spans="1:1" x14ac:dyDescent="0.25">
      <c r="A1037" s="5" t="s">
        <v>137</v>
      </c>
    </row>
    <row r="1038" spans="1:1" x14ac:dyDescent="0.25">
      <c r="A1038" s="5" t="s">
        <v>136</v>
      </c>
    </row>
    <row r="1039" spans="1:1" x14ac:dyDescent="0.25">
      <c r="A1039" s="5" t="s">
        <v>104</v>
      </c>
    </row>
    <row r="1040" spans="1:1" x14ac:dyDescent="0.25">
      <c r="A1040" s="5" t="s">
        <v>147</v>
      </c>
    </row>
    <row r="1041" spans="1:1" x14ac:dyDescent="0.25">
      <c r="A1041" s="5" t="s">
        <v>137</v>
      </c>
    </row>
    <row r="1042" spans="1:1" x14ac:dyDescent="0.25">
      <c r="A1042" s="5" t="s">
        <v>147</v>
      </c>
    </row>
    <row r="1043" spans="1:1" x14ac:dyDescent="0.25">
      <c r="A1043" s="5" t="s">
        <v>147</v>
      </c>
    </row>
    <row r="1044" spans="1:1" x14ac:dyDescent="0.25">
      <c r="A1044" s="5" t="s">
        <v>137</v>
      </c>
    </row>
    <row r="1045" spans="1:1" x14ac:dyDescent="0.25">
      <c r="A1045" s="5" t="s">
        <v>147</v>
      </c>
    </row>
    <row r="1046" spans="1:1" x14ac:dyDescent="0.25">
      <c r="A1046" s="5" t="s">
        <v>137</v>
      </c>
    </row>
    <row r="1047" spans="1:1" x14ac:dyDescent="0.25">
      <c r="A1047" s="5" t="s">
        <v>147</v>
      </c>
    </row>
    <row r="1048" spans="1:1" x14ac:dyDescent="0.25">
      <c r="A1048" s="5" t="s">
        <v>77</v>
      </c>
    </row>
    <row r="1049" spans="1:1" x14ac:dyDescent="0.25">
      <c r="A1049" s="5" t="s">
        <v>147</v>
      </c>
    </row>
    <row r="1050" spans="1:1" x14ac:dyDescent="0.25">
      <c r="A1050" s="5" t="s">
        <v>91</v>
      </c>
    </row>
    <row r="1051" spans="1:1" x14ac:dyDescent="0.25">
      <c r="A1051" s="5" t="s">
        <v>77</v>
      </c>
    </row>
    <row r="1052" spans="1:1" x14ac:dyDescent="0.25">
      <c r="A1052" s="5" t="s">
        <v>17</v>
      </c>
    </row>
    <row r="1053" spans="1:1" x14ac:dyDescent="0.25">
      <c r="A1053" s="5" t="s">
        <v>70</v>
      </c>
    </row>
    <row r="1054" spans="1:1" x14ac:dyDescent="0.25">
      <c r="A1054" s="5" t="s">
        <v>91</v>
      </c>
    </row>
    <row r="1055" spans="1:1" x14ac:dyDescent="0.25">
      <c r="A1055" s="5" t="s">
        <v>77</v>
      </c>
    </row>
    <row r="1056" spans="1:1" x14ac:dyDescent="0.25">
      <c r="A1056" s="5" t="s">
        <v>147</v>
      </c>
    </row>
    <row r="1057" spans="1:1" x14ac:dyDescent="0.25">
      <c r="A1057" s="5" t="s">
        <v>147</v>
      </c>
    </row>
    <row r="1058" spans="1:1" x14ac:dyDescent="0.25">
      <c r="A1058" s="5" t="s">
        <v>70</v>
      </c>
    </row>
    <row r="1059" spans="1:1" x14ac:dyDescent="0.25">
      <c r="A1059" s="5" t="s">
        <v>110</v>
      </c>
    </row>
    <row r="1060" spans="1:1" x14ac:dyDescent="0.25">
      <c r="A1060" s="5" t="s">
        <v>70</v>
      </c>
    </row>
    <row r="1061" spans="1:1" x14ac:dyDescent="0.25">
      <c r="A1061" s="5" t="s">
        <v>91</v>
      </c>
    </row>
    <row r="1062" spans="1:1" x14ac:dyDescent="0.25">
      <c r="A1062" s="5" t="s">
        <v>70</v>
      </c>
    </row>
    <row r="1063" spans="1:1" x14ac:dyDescent="0.25">
      <c r="A1063" s="5" t="s">
        <v>136</v>
      </c>
    </row>
    <row r="1064" spans="1:1" x14ac:dyDescent="0.25">
      <c r="A1064" s="5" t="s">
        <v>17</v>
      </c>
    </row>
    <row r="1065" spans="1:1" x14ac:dyDescent="0.25">
      <c r="A1065" s="5" t="s">
        <v>70</v>
      </c>
    </row>
    <row r="1066" spans="1:1" x14ac:dyDescent="0.25">
      <c r="A1066" s="5" t="s">
        <v>136</v>
      </c>
    </row>
    <row r="1067" spans="1:1" x14ac:dyDescent="0.25">
      <c r="A1067" s="5" t="s">
        <v>105</v>
      </c>
    </row>
    <row r="1068" spans="1:1" x14ac:dyDescent="0.25">
      <c r="A1068" s="5" t="s">
        <v>136</v>
      </c>
    </row>
    <row r="1069" spans="1:1" x14ac:dyDescent="0.25">
      <c r="A1069" s="5" t="s">
        <v>105</v>
      </c>
    </row>
    <row r="1070" spans="1:1" x14ac:dyDescent="0.25">
      <c r="A1070" s="5" t="s">
        <v>88</v>
      </c>
    </row>
    <row r="1071" spans="1:1" x14ac:dyDescent="0.25">
      <c r="A1071" s="5" t="s">
        <v>18</v>
      </c>
    </row>
    <row r="1072" spans="1:1" x14ac:dyDescent="0.25">
      <c r="A1072" s="5" t="s">
        <v>101</v>
      </c>
    </row>
    <row r="1073" spans="1:1" x14ac:dyDescent="0.25">
      <c r="A1073" s="5" t="s">
        <v>105</v>
      </c>
    </row>
    <row r="1074" spans="1:1" x14ac:dyDescent="0.25">
      <c r="A1074" s="5" t="s">
        <v>18</v>
      </c>
    </row>
    <row r="1075" spans="1:1" x14ac:dyDescent="0.25">
      <c r="A1075" s="5" t="s">
        <v>101</v>
      </c>
    </row>
    <row r="1076" spans="1:1" x14ac:dyDescent="0.25">
      <c r="A1076" s="5" t="s">
        <v>137</v>
      </c>
    </row>
    <row r="1077" spans="1:1" x14ac:dyDescent="0.25">
      <c r="A1077" s="5" t="s">
        <v>18</v>
      </c>
    </row>
    <row r="1078" spans="1:1" x14ac:dyDescent="0.25">
      <c r="A1078" s="5" t="s">
        <v>132</v>
      </c>
    </row>
    <row r="1079" spans="1:1" x14ac:dyDescent="0.25">
      <c r="A1079" s="5" t="s">
        <v>137</v>
      </c>
    </row>
    <row r="1080" spans="1:1" x14ac:dyDescent="0.25">
      <c r="A1080" s="5" t="s">
        <v>101</v>
      </c>
    </row>
    <row r="1081" spans="1:1" x14ac:dyDescent="0.25">
      <c r="A1081" s="5" t="s">
        <v>89</v>
      </c>
    </row>
    <row r="1082" spans="1:1" x14ac:dyDescent="0.25">
      <c r="A1082" s="5" t="s">
        <v>132</v>
      </c>
    </row>
    <row r="1083" spans="1:1" x14ac:dyDescent="0.25">
      <c r="A1083" s="5" t="s">
        <v>137</v>
      </c>
    </row>
    <row r="1084" spans="1:1" x14ac:dyDescent="0.25">
      <c r="A1084" s="5" t="s">
        <v>74</v>
      </c>
    </row>
    <row r="1085" spans="1:1" x14ac:dyDescent="0.25">
      <c r="A1085" s="5" t="s">
        <v>132</v>
      </c>
    </row>
    <row r="1086" spans="1:1" x14ac:dyDescent="0.25">
      <c r="A1086" s="5" t="s">
        <v>74</v>
      </c>
    </row>
    <row r="1087" spans="1:1" x14ac:dyDescent="0.25">
      <c r="A1087" s="5" t="s">
        <v>148</v>
      </c>
    </row>
    <row r="1088" spans="1:1" x14ac:dyDescent="0.25">
      <c r="A1088" s="5" t="s">
        <v>136</v>
      </c>
    </row>
    <row r="1089" spans="1:1" x14ac:dyDescent="0.25">
      <c r="A1089" s="5" t="s">
        <v>75</v>
      </c>
    </row>
    <row r="1090" spans="1:1" x14ac:dyDescent="0.25">
      <c r="A1090" s="5" t="s">
        <v>149</v>
      </c>
    </row>
    <row r="1091" spans="1:1" x14ac:dyDescent="0.25">
      <c r="A1091" s="5" t="s">
        <v>148</v>
      </c>
    </row>
    <row r="1092" spans="1:1" x14ac:dyDescent="0.25">
      <c r="A1092" s="5" t="s">
        <v>136</v>
      </c>
    </row>
    <row r="1093" spans="1:1" x14ac:dyDescent="0.25">
      <c r="A1093" s="5" t="s">
        <v>75</v>
      </c>
    </row>
    <row r="1094" spans="1:1" x14ac:dyDescent="0.25">
      <c r="A1094" s="5" t="s">
        <v>148</v>
      </c>
    </row>
    <row r="1095" spans="1:1" x14ac:dyDescent="0.25">
      <c r="A1095" s="5" t="s">
        <v>149</v>
      </c>
    </row>
    <row r="1096" spans="1:1" x14ac:dyDescent="0.25">
      <c r="A1096" s="5" t="s">
        <v>75</v>
      </c>
    </row>
    <row r="1097" spans="1:1" x14ac:dyDescent="0.25">
      <c r="A1097" s="5" t="s">
        <v>149</v>
      </c>
    </row>
    <row r="1098" spans="1:1" x14ac:dyDescent="0.25">
      <c r="A1098" s="5" t="s">
        <v>74</v>
      </c>
    </row>
    <row r="1099" spans="1:1" x14ac:dyDescent="0.25">
      <c r="A1099" s="5" t="s">
        <v>106</v>
      </c>
    </row>
    <row r="1100" spans="1:1" x14ac:dyDescent="0.25">
      <c r="A1100" s="5" t="s">
        <v>137</v>
      </c>
    </row>
    <row r="1101" spans="1:1" x14ac:dyDescent="0.25">
      <c r="A1101" s="5" t="s">
        <v>75</v>
      </c>
    </row>
    <row r="1102" spans="1:1" x14ac:dyDescent="0.25">
      <c r="A1102" s="5" t="s">
        <v>106</v>
      </c>
    </row>
    <row r="1103" spans="1:1" x14ac:dyDescent="0.25">
      <c r="A1103" s="5" t="s">
        <v>74</v>
      </c>
    </row>
    <row r="1104" spans="1:1" x14ac:dyDescent="0.25">
      <c r="A1104" s="5" t="s">
        <v>90</v>
      </c>
    </row>
    <row r="1105" spans="1:1" x14ac:dyDescent="0.25">
      <c r="A1105" s="5" t="s">
        <v>137</v>
      </c>
    </row>
    <row r="1106" spans="1:1" x14ac:dyDescent="0.25">
      <c r="A1106" s="5" t="s">
        <v>136</v>
      </c>
    </row>
    <row r="1107" spans="1:1" x14ac:dyDescent="0.25">
      <c r="A1107" s="5" t="s">
        <v>136</v>
      </c>
    </row>
    <row r="1108" spans="1:1" x14ac:dyDescent="0.25">
      <c r="A1108" s="5" t="s">
        <v>136</v>
      </c>
    </row>
    <row r="1109" spans="1:1" x14ac:dyDescent="0.25">
      <c r="A1109" s="5" t="s">
        <v>71</v>
      </c>
    </row>
    <row r="1110" spans="1:1" x14ac:dyDescent="0.25">
      <c r="A1110" s="5" t="s">
        <v>137</v>
      </c>
    </row>
    <row r="1111" spans="1:1" x14ac:dyDescent="0.25">
      <c r="A1111" s="5" t="s">
        <v>72</v>
      </c>
    </row>
    <row r="1112" spans="1:1" x14ac:dyDescent="0.25">
      <c r="A1112" s="5" t="s">
        <v>71</v>
      </c>
    </row>
    <row r="1113" spans="1:1" x14ac:dyDescent="0.25">
      <c r="A1113" s="5" t="s">
        <v>137</v>
      </c>
    </row>
    <row r="1114" spans="1:1" x14ac:dyDescent="0.25">
      <c r="A1114" s="5" t="s">
        <v>72</v>
      </c>
    </row>
    <row r="1115" spans="1:1" x14ac:dyDescent="0.25">
      <c r="A1115" s="5" t="s">
        <v>71</v>
      </c>
    </row>
    <row r="1116" spans="1:1" x14ac:dyDescent="0.25">
      <c r="A1116" s="5" t="s">
        <v>137</v>
      </c>
    </row>
    <row r="1117" spans="1:1" x14ac:dyDescent="0.25">
      <c r="A1117" s="5" t="s">
        <v>72</v>
      </c>
    </row>
    <row r="1118" spans="1:1" x14ac:dyDescent="0.25">
      <c r="A1118" s="5" t="s">
        <v>136</v>
      </c>
    </row>
    <row r="1119" spans="1:1" x14ac:dyDescent="0.25">
      <c r="A1119" s="5" t="s">
        <v>71</v>
      </c>
    </row>
    <row r="1120" spans="1:1" x14ac:dyDescent="0.25">
      <c r="A1120" s="5" t="s">
        <v>136</v>
      </c>
    </row>
    <row r="1121" spans="1:1" x14ac:dyDescent="0.25">
      <c r="A1121" s="5" t="s">
        <v>72</v>
      </c>
    </row>
    <row r="1122" spans="1:1" x14ac:dyDescent="0.25">
      <c r="A1122" s="5" t="s">
        <v>150</v>
      </c>
    </row>
    <row r="1123" spans="1:1" x14ac:dyDescent="0.25">
      <c r="A1123" s="5" t="s">
        <v>151</v>
      </c>
    </row>
    <row r="1124" spans="1:1" x14ac:dyDescent="0.25">
      <c r="A1124" s="5" t="s">
        <v>105</v>
      </c>
    </row>
    <row r="1125" spans="1:1" x14ac:dyDescent="0.25">
      <c r="A1125" s="5" t="s">
        <v>71</v>
      </c>
    </row>
    <row r="1126" spans="1:1" x14ac:dyDescent="0.25">
      <c r="A1126" s="5" t="s">
        <v>150</v>
      </c>
    </row>
    <row r="1127" spans="1:1" x14ac:dyDescent="0.25">
      <c r="A1127" s="5" t="s">
        <v>151</v>
      </c>
    </row>
    <row r="1128" spans="1:1" x14ac:dyDescent="0.25">
      <c r="A1128" s="5" t="s">
        <v>151</v>
      </c>
    </row>
    <row r="1129" spans="1:1" x14ac:dyDescent="0.25">
      <c r="A1129" s="5" t="s">
        <v>151</v>
      </c>
    </row>
    <row r="1130" spans="1:1" x14ac:dyDescent="0.25">
      <c r="A1130" s="5" t="s">
        <v>72</v>
      </c>
    </row>
    <row r="1131" spans="1:1" x14ac:dyDescent="0.25">
      <c r="A1131" s="5" t="s">
        <v>105</v>
      </c>
    </row>
    <row r="1132" spans="1:1" x14ac:dyDescent="0.25">
      <c r="A1132" s="5" t="s">
        <v>17</v>
      </c>
    </row>
    <row r="1133" spans="1:1" x14ac:dyDescent="0.25">
      <c r="A1133" s="5" t="s">
        <v>101</v>
      </c>
    </row>
    <row r="1134" spans="1:1" x14ac:dyDescent="0.25">
      <c r="A1134" s="5" t="s">
        <v>72</v>
      </c>
    </row>
    <row r="1135" spans="1:1" x14ac:dyDescent="0.25">
      <c r="A1135" s="5" t="s">
        <v>105</v>
      </c>
    </row>
    <row r="1136" spans="1:1" x14ac:dyDescent="0.25">
      <c r="A1136" s="5" t="s">
        <v>136</v>
      </c>
    </row>
    <row r="1137" spans="1:1" x14ac:dyDescent="0.25">
      <c r="A1137" s="5" t="s">
        <v>137</v>
      </c>
    </row>
    <row r="1138" spans="1:1" x14ac:dyDescent="0.25">
      <c r="A1138" s="5" t="s">
        <v>101</v>
      </c>
    </row>
    <row r="1139" spans="1:1" x14ac:dyDescent="0.25">
      <c r="A1139" s="5" t="s">
        <v>136</v>
      </c>
    </row>
    <row r="1140" spans="1:1" x14ac:dyDescent="0.25">
      <c r="A1140" s="5" t="s">
        <v>71</v>
      </c>
    </row>
    <row r="1141" spans="1:1" x14ac:dyDescent="0.25">
      <c r="A1141" s="5" t="s">
        <v>137</v>
      </c>
    </row>
    <row r="1142" spans="1:1" x14ac:dyDescent="0.25">
      <c r="A1142" s="5" t="s">
        <v>151</v>
      </c>
    </row>
    <row r="1143" spans="1:1" x14ac:dyDescent="0.25">
      <c r="A1143" s="5" t="s">
        <v>101</v>
      </c>
    </row>
    <row r="1144" spans="1:1" x14ac:dyDescent="0.25">
      <c r="A1144" s="5" t="s">
        <v>71</v>
      </c>
    </row>
    <row r="1145" spans="1:1" x14ac:dyDescent="0.25">
      <c r="A1145" s="5" t="s">
        <v>137</v>
      </c>
    </row>
    <row r="1146" spans="1:1" x14ac:dyDescent="0.25">
      <c r="A1146" s="5" t="s">
        <v>105</v>
      </c>
    </row>
    <row r="1147" spans="1:1" x14ac:dyDescent="0.25">
      <c r="A1147" s="5" t="s">
        <v>71</v>
      </c>
    </row>
    <row r="1148" spans="1:1" x14ac:dyDescent="0.25">
      <c r="A1148" s="5" t="s">
        <v>136</v>
      </c>
    </row>
    <row r="1149" spans="1:1" x14ac:dyDescent="0.25">
      <c r="A1149" s="5" t="s">
        <v>72</v>
      </c>
    </row>
    <row r="1150" spans="1:1" x14ac:dyDescent="0.25">
      <c r="A1150" s="5" t="s">
        <v>105</v>
      </c>
    </row>
    <row r="1151" spans="1:1" x14ac:dyDescent="0.25">
      <c r="A1151" s="5" t="s">
        <v>137</v>
      </c>
    </row>
    <row r="1152" spans="1:1" x14ac:dyDescent="0.25">
      <c r="A1152" s="5" t="s">
        <v>72</v>
      </c>
    </row>
    <row r="1153" spans="1:1" x14ac:dyDescent="0.25">
      <c r="A1153" s="5" t="s">
        <v>137</v>
      </c>
    </row>
    <row r="1154" spans="1:1" x14ac:dyDescent="0.25">
      <c r="A1154" s="5" t="s">
        <v>105</v>
      </c>
    </row>
    <row r="1155" spans="1:1" x14ac:dyDescent="0.25">
      <c r="A1155" s="5" t="s">
        <v>150</v>
      </c>
    </row>
    <row r="1156" spans="1:1" x14ac:dyDescent="0.25">
      <c r="A1156" s="5" t="s">
        <v>151</v>
      </c>
    </row>
    <row r="1157" spans="1:1" x14ac:dyDescent="0.25">
      <c r="A1157" s="5" t="s">
        <v>152</v>
      </c>
    </row>
    <row r="1158" spans="1:1" x14ac:dyDescent="0.25">
      <c r="A1158" s="5" t="s">
        <v>101</v>
      </c>
    </row>
    <row r="1159" spans="1:1" x14ac:dyDescent="0.25">
      <c r="A1159" s="5" t="s">
        <v>72</v>
      </c>
    </row>
    <row r="1160" spans="1:1" x14ac:dyDescent="0.25">
      <c r="A1160" s="5" t="s">
        <v>137</v>
      </c>
    </row>
    <row r="1161" spans="1:1" x14ac:dyDescent="0.25">
      <c r="A1161" s="5" t="s">
        <v>71</v>
      </c>
    </row>
    <row r="1162" spans="1:1" x14ac:dyDescent="0.25">
      <c r="A1162" s="5" t="s">
        <v>152</v>
      </c>
    </row>
    <row r="1163" spans="1:1" x14ac:dyDescent="0.25">
      <c r="A1163" s="5" t="s">
        <v>101</v>
      </c>
    </row>
    <row r="1164" spans="1:1" x14ac:dyDescent="0.25">
      <c r="A1164" s="5" t="s">
        <v>71</v>
      </c>
    </row>
    <row r="1165" spans="1:1" x14ac:dyDescent="0.25">
      <c r="A1165" s="5" t="s">
        <v>137</v>
      </c>
    </row>
    <row r="1166" spans="1:1" x14ac:dyDescent="0.25">
      <c r="A1166" s="5" t="s">
        <v>152</v>
      </c>
    </row>
    <row r="1167" spans="1:1" x14ac:dyDescent="0.25">
      <c r="A1167" s="5" t="s">
        <v>101</v>
      </c>
    </row>
    <row r="1168" spans="1:1" x14ac:dyDescent="0.25">
      <c r="A1168" s="5" t="s">
        <v>105</v>
      </c>
    </row>
    <row r="1169" spans="1:1" x14ac:dyDescent="0.25">
      <c r="A1169" s="5" t="s">
        <v>136</v>
      </c>
    </row>
    <row r="1170" spans="1:1" x14ac:dyDescent="0.25">
      <c r="A1170" s="5" t="s">
        <v>103</v>
      </c>
    </row>
    <row r="1171" spans="1:1" x14ac:dyDescent="0.25">
      <c r="A1171" s="5" t="s">
        <v>153</v>
      </c>
    </row>
    <row r="1172" spans="1:1" x14ac:dyDescent="0.25">
      <c r="A1172" s="5" t="s">
        <v>72</v>
      </c>
    </row>
    <row r="1173" spans="1:1" x14ac:dyDescent="0.25">
      <c r="A1173" s="5" t="s">
        <v>137</v>
      </c>
    </row>
    <row r="1174" spans="1:1" x14ac:dyDescent="0.25">
      <c r="A1174" s="5" t="s">
        <v>153</v>
      </c>
    </row>
    <row r="1175" spans="1:1" x14ac:dyDescent="0.25">
      <c r="A1175" s="5" t="s">
        <v>136</v>
      </c>
    </row>
    <row r="1176" spans="1:1" x14ac:dyDescent="0.25">
      <c r="A1176" s="5" t="s">
        <v>72</v>
      </c>
    </row>
    <row r="1177" spans="1:1" x14ac:dyDescent="0.25">
      <c r="A1177" s="5" t="s">
        <v>153</v>
      </c>
    </row>
    <row r="1178" spans="1:1" x14ac:dyDescent="0.25">
      <c r="A1178" s="5" t="s">
        <v>101</v>
      </c>
    </row>
    <row r="1179" spans="1:1" x14ac:dyDescent="0.25">
      <c r="A1179" s="5" t="s">
        <v>104</v>
      </c>
    </row>
    <row r="1180" spans="1:1" x14ac:dyDescent="0.25">
      <c r="A1180" s="5" t="s">
        <v>136</v>
      </c>
    </row>
    <row r="1181" spans="1:1" x14ac:dyDescent="0.25">
      <c r="A1181" s="5" t="s">
        <v>72</v>
      </c>
    </row>
    <row r="1182" spans="1:1" x14ac:dyDescent="0.25">
      <c r="A1182" s="5" t="s">
        <v>71</v>
      </c>
    </row>
    <row r="1183" spans="1:1" x14ac:dyDescent="0.25">
      <c r="A1183" s="5" t="s">
        <v>103</v>
      </c>
    </row>
    <row r="1184" spans="1:1" x14ac:dyDescent="0.25">
      <c r="A1184" s="5" t="s">
        <v>17</v>
      </c>
    </row>
    <row r="1185" spans="1:1" x14ac:dyDescent="0.25">
      <c r="A1185" s="5" t="s">
        <v>101</v>
      </c>
    </row>
    <row r="1186" spans="1:1" x14ac:dyDescent="0.25">
      <c r="A1186" s="5" t="s">
        <v>118</v>
      </c>
    </row>
    <row r="1187" spans="1:1" x14ac:dyDescent="0.25">
      <c r="A1187" s="5" t="s">
        <v>104</v>
      </c>
    </row>
    <row r="1188" spans="1:1" x14ac:dyDescent="0.25">
      <c r="A1188" s="5" t="s">
        <v>103</v>
      </c>
    </row>
    <row r="1189" spans="1:1" x14ac:dyDescent="0.25">
      <c r="A1189" s="5" t="s">
        <v>136</v>
      </c>
    </row>
    <row r="1190" spans="1:1" x14ac:dyDescent="0.25">
      <c r="A1190" s="5" t="s">
        <v>101</v>
      </c>
    </row>
    <row r="1191" spans="1:1" x14ac:dyDescent="0.25">
      <c r="A1191" s="5" t="s">
        <v>104</v>
      </c>
    </row>
    <row r="1192" spans="1:1" x14ac:dyDescent="0.25">
      <c r="A1192" s="5" t="s">
        <v>118</v>
      </c>
    </row>
    <row r="1193" spans="1:1" x14ac:dyDescent="0.25">
      <c r="A1193" s="5" t="s">
        <v>136</v>
      </c>
    </row>
    <row r="1194" spans="1:1" x14ac:dyDescent="0.25">
      <c r="A1194" s="5" t="s">
        <v>137</v>
      </c>
    </row>
    <row r="1195" spans="1:1" x14ac:dyDescent="0.25">
      <c r="A1195" s="5" t="s">
        <v>118</v>
      </c>
    </row>
    <row r="1196" spans="1:1" x14ac:dyDescent="0.25">
      <c r="A1196" s="5" t="s">
        <v>136</v>
      </c>
    </row>
    <row r="1197" spans="1:1" x14ac:dyDescent="0.25">
      <c r="A1197" s="5" t="s">
        <v>72</v>
      </c>
    </row>
    <row r="1198" spans="1:1" x14ac:dyDescent="0.25">
      <c r="A1198" s="5" t="s">
        <v>103</v>
      </c>
    </row>
    <row r="1199" spans="1:1" x14ac:dyDescent="0.25">
      <c r="A1199" s="5" t="s">
        <v>104</v>
      </c>
    </row>
    <row r="1200" spans="1:1" x14ac:dyDescent="0.25">
      <c r="A1200" s="5" t="s">
        <v>137</v>
      </c>
    </row>
    <row r="1201" spans="1:1" x14ac:dyDescent="0.25">
      <c r="A1201" s="5" t="s">
        <v>104</v>
      </c>
    </row>
    <row r="1202" spans="1:1" x14ac:dyDescent="0.25">
      <c r="A1202" s="5" t="s">
        <v>103</v>
      </c>
    </row>
    <row r="1203" spans="1:1" x14ac:dyDescent="0.25">
      <c r="A1203" s="5" t="s">
        <v>137</v>
      </c>
    </row>
    <row r="1204" spans="1:1" x14ac:dyDescent="0.25">
      <c r="A1204" s="5" t="s">
        <v>104</v>
      </c>
    </row>
    <row r="1205" spans="1:1" x14ac:dyDescent="0.25">
      <c r="A1205" s="5" t="s">
        <v>118</v>
      </c>
    </row>
    <row r="1206" spans="1:1" x14ac:dyDescent="0.25">
      <c r="A1206" s="5" t="s">
        <v>137</v>
      </c>
    </row>
    <row r="1207" spans="1:1" x14ac:dyDescent="0.25">
      <c r="A1207" s="5" t="s">
        <v>104</v>
      </c>
    </row>
    <row r="1208" spans="1:1" x14ac:dyDescent="0.25">
      <c r="A1208" s="5" t="s">
        <v>118</v>
      </c>
    </row>
    <row r="1209" spans="1:1" x14ac:dyDescent="0.25">
      <c r="A1209" s="5" t="s">
        <v>137</v>
      </c>
    </row>
    <row r="1210" spans="1:1" x14ac:dyDescent="0.25">
      <c r="A1210" s="5" t="s">
        <v>136</v>
      </c>
    </row>
    <row r="1211" spans="1:1" x14ac:dyDescent="0.25">
      <c r="A1211" s="5" t="s">
        <v>118</v>
      </c>
    </row>
    <row r="1212" spans="1:1" x14ac:dyDescent="0.25">
      <c r="A1212" s="5" t="s">
        <v>137</v>
      </c>
    </row>
    <row r="1213" spans="1:1" x14ac:dyDescent="0.25">
      <c r="A1213" s="5" t="s">
        <v>136</v>
      </c>
    </row>
    <row r="1214" spans="1:1" x14ac:dyDescent="0.25">
      <c r="A1214" s="5" t="s">
        <v>136</v>
      </c>
    </row>
    <row r="1215" spans="1:1" x14ac:dyDescent="0.25">
      <c r="A1215" s="5" t="s">
        <v>118</v>
      </c>
    </row>
    <row r="1216" spans="1:1" x14ac:dyDescent="0.25">
      <c r="A1216" s="5" t="s">
        <v>136</v>
      </c>
    </row>
    <row r="1217" spans="1:1" x14ac:dyDescent="0.25">
      <c r="A1217" s="5" t="s">
        <v>118</v>
      </c>
    </row>
    <row r="1218" spans="1:1" x14ac:dyDescent="0.25">
      <c r="A1218" s="5" t="s">
        <v>136</v>
      </c>
    </row>
    <row r="1219" spans="1:1" x14ac:dyDescent="0.25">
      <c r="A1219" s="5" t="s">
        <v>137</v>
      </c>
    </row>
    <row r="1220" spans="1:1" x14ac:dyDescent="0.25">
      <c r="A1220" s="5" t="s">
        <v>118</v>
      </c>
    </row>
    <row r="1221" spans="1:1" x14ac:dyDescent="0.25">
      <c r="A1221" s="5" t="s">
        <v>136</v>
      </c>
    </row>
    <row r="1222" spans="1:1" x14ac:dyDescent="0.25">
      <c r="A1222" s="5" t="s">
        <v>137</v>
      </c>
    </row>
    <row r="1223" spans="1:1" x14ac:dyDescent="0.25">
      <c r="A1223" s="5" t="s">
        <v>78</v>
      </c>
    </row>
    <row r="1224" spans="1:1" x14ac:dyDescent="0.25">
      <c r="A1224" s="5" t="s">
        <v>137</v>
      </c>
    </row>
    <row r="1225" spans="1:1" x14ac:dyDescent="0.25">
      <c r="A1225" s="5" t="s">
        <v>78</v>
      </c>
    </row>
    <row r="1226" spans="1:1" x14ac:dyDescent="0.25">
      <c r="A1226" s="5" t="s">
        <v>78</v>
      </c>
    </row>
    <row r="1227" spans="1:1" x14ac:dyDescent="0.25">
      <c r="A1227" s="5" t="s">
        <v>137</v>
      </c>
    </row>
    <row r="1228" spans="1:1" x14ac:dyDescent="0.25">
      <c r="A1228" s="5" t="s">
        <v>137</v>
      </c>
    </row>
    <row r="1229" spans="1:1" x14ac:dyDescent="0.25">
      <c r="A1229" s="5" t="s">
        <v>136</v>
      </c>
    </row>
    <row r="1230" spans="1:1" x14ac:dyDescent="0.25">
      <c r="A1230" s="5" t="s">
        <v>137</v>
      </c>
    </row>
    <row r="1231" spans="1:1" x14ac:dyDescent="0.25">
      <c r="A1231" s="5" t="s">
        <v>136</v>
      </c>
    </row>
    <row r="1232" spans="1:1" x14ac:dyDescent="0.25">
      <c r="A1232" s="5" t="s">
        <v>78</v>
      </c>
    </row>
    <row r="1233" spans="1:1" x14ac:dyDescent="0.25">
      <c r="A1233" s="5" t="s">
        <v>78</v>
      </c>
    </row>
    <row r="1234" spans="1:1" x14ac:dyDescent="0.25">
      <c r="A1234" s="5" t="s">
        <v>136</v>
      </c>
    </row>
    <row r="1235" spans="1:1" x14ac:dyDescent="0.25">
      <c r="A1235" s="5" t="s">
        <v>78</v>
      </c>
    </row>
    <row r="1236" spans="1:1" x14ac:dyDescent="0.25">
      <c r="A1236" s="5" t="s">
        <v>136</v>
      </c>
    </row>
    <row r="1237" spans="1:1" x14ac:dyDescent="0.25">
      <c r="A1237" s="5" t="s">
        <v>120</v>
      </c>
    </row>
    <row r="1238" spans="1:1" x14ac:dyDescent="0.25">
      <c r="A1238" s="5" t="s">
        <v>136</v>
      </c>
    </row>
    <row r="1239" spans="1:1" x14ac:dyDescent="0.25">
      <c r="A1239" s="5" t="s">
        <v>137</v>
      </c>
    </row>
    <row r="1240" spans="1:1" x14ac:dyDescent="0.25">
      <c r="A1240" s="5" t="s">
        <v>120</v>
      </c>
    </row>
    <row r="1241" spans="1:1" x14ac:dyDescent="0.25">
      <c r="A1241" s="5" t="s">
        <v>100</v>
      </c>
    </row>
    <row r="1242" spans="1:1" x14ac:dyDescent="0.25">
      <c r="A1242" s="5" t="s">
        <v>100</v>
      </c>
    </row>
    <row r="1243" spans="1:1" x14ac:dyDescent="0.25">
      <c r="A1243" s="5" t="s">
        <v>136</v>
      </c>
    </row>
    <row r="1244" spans="1:1" x14ac:dyDescent="0.25">
      <c r="A1244" s="5" t="s">
        <v>137</v>
      </c>
    </row>
    <row r="1245" spans="1:1" x14ac:dyDescent="0.25">
      <c r="A1245" s="5" t="s">
        <v>130</v>
      </c>
    </row>
    <row r="1246" spans="1:1" x14ac:dyDescent="0.25">
      <c r="A1246" s="5" t="s">
        <v>137</v>
      </c>
    </row>
    <row r="1247" spans="1:1" x14ac:dyDescent="0.25">
      <c r="A1247" s="5" t="s">
        <v>130</v>
      </c>
    </row>
    <row r="1248" spans="1:1" x14ac:dyDescent="0.25">
      <c r="A1248" s="5" t="s">
        <v>106</v>
      </c>
    </row>
    <row r="1249" spans="1:1" x14ac:dyDescent="0.25">
      <c r="A1249" s="5" t="s">
        <v>136</v>
      </c>
    </row>
    <row r="1250" spans="1:1" x14ac:dyDescent="0.25">
      <c r="A1250" s="5" t="s">
        <v>90</v>
      </c>
    </row>
    <row r="1251" spans="1:1" x14ac:dyDescent="0.25">
      <c r="A1251" s="5" t="s">
        <v>137</v>
      </c>
    </row>
    <row r="1252" spans="1:1" x14ac:dyDescent="0.25">
      <c r="A1252" s="5" t="s">
        <v>130</v>
      </c>
    </row>
    <row r="1253" spans="1:1" x14ac:dyDescent="0.25">
      <c r="A1253" s="5" t="s">
        <v>106</v>
      </c>
    </row>
    <row r="1254" spans="1:1" x14ac:dyDescent="0.25">
      <c r="A1254" s="5" t="s">
        <v>136</v>
      </c>
    </row>
    <row r="1255" spans="1:1" x14ac:dyDescent="0.25">
      <c r="A1255" s="5" t="s">
        <v>137</v>
      </c>
    </row>
    <row r="1256" spans="1:1" x14ac:dyDescent="0.25">
      <c r="A1256" s="5" t="s">
        <v>106</v>
      </c>
    </row>
    <row r="1257" spans="1:1" x14ac:dyDescent="0.25">
      <c r="A1257" s="5" t="s">
        <v>136</v>
      </c>
    </row>
    <row r="1258" spans="1:1" x14ac:dyDescent="0.25">
      <c r="A1258" s="5" t="s">
        <v>106</v>
      </c>
    </row>
    <row r="1259" spans="1:1" x14ac:dyDescent="0.25">
      <c r="A1259" s="5" t="s">
        <v>17</v>
      </c>
    </row>
    <row r="1260" spans="1:1" x14ac:dyDescent="0.25">
      <c r="A1260" s="5" t="s">
        <v>137</v>
      </c>
    </row>
    <row r="1261" spans="1:1" x14ac:dyDescent="0.25">
      <c r="A1261" s="5" t="s">
        <v>106</v>
      </c>
    </row>
    <row r="1262" spans="1:1" x14ac:dyDescent="0.25">
      <c r="A1262" s="5" t="s">
        <v>137</v>
      </c>
    </row>
    <row r="1263" spans="1:1" x14ac:dyDescent="0.25">
      <c r="A1263" s="5" t="s">
        <v>90</v>
      </c>
    </row>
    <row r="1264" spans="1:1" x14ac:dyDescent="0.25">
      <c r="A1264" s="5" t="s">
        <v>137</v>
      </c>
    </row>
    <row r="1265" spans="1:1" x14ac:dyDescent="0.25">
      <c r="A1265" s="5" t="s">
        <v>90</v>
      </c>
    </row>
    <row r="1266" spans="1:1" x14ac:dyDescent="0.25">
      <c r="A1266" s="5" t="s">
        <v>129</v>
      </c>
    </row>
    <row r="1267" spans="1:1" x14ac:dyDescent="0.25">
      <c r="A1267" s="5" t="s">
        <v>154</v>
      </c>
    </row>
    <row r="1268" spans="1:1" x14ac:dyDescent="0.25">
      <c r="A1268" s="5" t="s">
        <v>129</v>
      </c>
    </row>
    <row r="1269" spans="1:1" x14ac:dyDescent="0.25">
      <c r="A1269" s="5" t="s">
        <v>131</v>
      </c>
    </row>
    <row r="1270" spans="1:1" x14ac:dyDescent="0.25">
      <c r="A1270" s="5" t="s">
        <v>154</v>
      </c>
    </row>
    <row r="1271" spans="1:1" x14ac:dyDescent="0.25">
      <c r="A1271" s="5" t="s">
        <v>129</v>
      </c>
    </row>
    <row r="1272" spans="1:1" x14ac:dyDescent="0.25">
      <c r="A1272" s="5" t="s">
        <v>136</v>
      </c>
    </row>
    <row r="1273" spans="1:1" x14ac:dyDescent="0.25">
      <c r="A1273" s="5" t="s">
        <v>131</v>
      </c>
    </row>
    <row r="1274" spans="1:1" x14ac:dyDescent="0.25">
      <c r="A1274" s="5" t="s">
        <v>136</v>
      </c>
    </row>
    <row r="1275" spans="1:1" x14ac:dyDescent="0.25">
      <c r="A1275" s="5" t="s">
        <v>131</v>
      </c>
    </row>
    <row r="1276" spans="1:1" x14ac:dyDescent="0.25">
      <c r="A1276" s="5" t="s">
        <v>136</v>
      </c>
    </row>
    <row r="1277" spans="1:1" x14ac:dyDescent="0.25">
      <c r="A1277" s="5" t="s">
        <v>147</v>
      </c>
    </row>
    <row r="1278" spans="1:1" x14ac:dyDescent="0.25">
      <c r="A1278" s="5" t="s">
        <v>137</v>
      </c>
    </row>
    <row r="1279" spans="1:1" x14ac:dyDescent="0.25">
      <c r="A1279" s="5" t="s">
        <v>137</v>
      </c>
    </row>
    <row r="1280" spans="1:1" x14ac:dyDescent="0.25">
      <c r="A1280" s="5" t="s">
        <v>137</v>
      </c>
    </row>
    <row r="1281" spans="1:1" x14ac:dyDescent="0.25">
      <c r="A1281" s="5" t="s">
        <v>71</v>
      </c>
    </row>
    <row r="1282" spans="1:1" x14ac:dyDescent="0.25">
      <c r="A1282" s="5" t="s">
        <v>71</v>
      </c>
    </row>
    <row r="1283" spans="1:1" x14ac:dyDescent="0.25">
      <c r="A1283" s="5" t="s">
        <v>71</v>
      </c>
    </row>
    <row r="1284" spans="1:1" x14ac:dyDescent="0.25">
      <c r="A1284" s="5" t="s">
        <v>72</v>
      </c>
    </row>
    <row r="1285" spans="1:1" x14ac:dyDescent="0.25">
      <c r="A1285" s="5" t="s">
        <v>136</v>
      </c>
    </row>
    <row r="1286" spans="1:1" x14ac:dyDescent="0.25">
      <c r="A1286" s="5" t="s">
        <v>72</v>
      </c>
    </row>
    <row r="1287" spans="1:1" x14ac:dyDescent="0.25">
      <c r="A1287" s="5" t="s">
        <v>136</v>
      </c>
    </row>
    <row r="1288" spans="1:1" x14ac:dyDescent="0.25">
      <c r="A1288" s="5" t="s">
        <v>88</v>
      </c>
    </row>
    <row r="1289" spans="1:1" x14ac:dyDescent="0.25">
      <c r="A1289" s="5" t="s">
        <v>72</v>
      </c>
    </row>
    <row r="1290" spans="1:1" x14ac:dyDescent="0.25">
      <c r="A1290" s="5" t="s">
        <v>77</v>
      </c>
    </row>
    <row r="1291" spans="1:1" x14ac:dyDescent="0.25">
      <c r="A1291" s="5" t="s">
        <v>77</v>
      </c>
    </row>
    <row r="1292" spans="1:1" x14ac:dyDescent="0.25">
      <c r="A1292" s="5" t="s">
        <v>17</v>
      </c>
    </row>
    <row r="1293" spans="1:1" x14ac:dyDescent="0.25">
      <c r="A1293" s="5" t="s">
        <v>89</v>
      </c>
    </row>
    <row r="1294" spans="1:1" x14ac:dyDescent="0.25">
      <c r="A1294" s="5" t="s">
        <v>77</v>
      </c>
    </row>
    <row r="1295" spans="1:1" x14ac:dyDescent="0.25">
      <c r="A1295" s="5" t="s">
        <v>137</v>
      </c>
    </row>
    <row r="1296" spans="1:1" x14ac:dyDescent="0.25">
      <c r="A1296" s="5" t="s">
        <v>110</v>
      </c>
    </row>
    <row r="1297" spans="1:1" x14ac:dyDescent="0.25">
      <c r="A1297" s="5" t="s">
        <v>137</v>
      </c>
    </row>
    <row r="1298" spans="1:1" x14ac:dyDescent="0.25">
      <c r="A1298" s="5" t="s">
        <v>136</v>
      </c>
    </row>
    <row r="1299" spans="1:1" x14ac:dyDescent="0.25">
      <c r="A1299" s="5" t="s">
        <v>137</v>
      </c>
    </row>
    <row r="1300" spans="1:1" x14ac:dyDescent="0.25">
      <c r="A1300" s="5" t="s">
        <v>136</v>
      </c>
    </row>
    <row r="1301" spans="1:1" x14ac:dyDescent="0.25">
      <c r="A1301" s="5" t="s">
        <v>136</v>
      </c>
    </row>
    <row r="1302" spans="1:1" x14ac:dyDescent="0.25">
      <c r="A1302" s="5" t="s">
        <v>136</v>
      </c>
    </row>
    <row r="1303" spans="1:1" x14ac:dyDescent="0.25">
      <c r="A1303" s="5" t="s">
        <v>137</v>
      </c>
    </row>
    <row r="1304" spans="1:1" x14ac:dyDescent="0.25">
      <c r="A1304" s="5" t="s">
        <v>136</v>
      </c>
    </row>
    <row r="1305" spans="1:1" x14ac:dyDescent="0.25">
      <c r="A1305" s="5" t="s">
        <v>137</v>
      </c>
    </row>
    <row r="1306" spans="1:1" x14ac:dyDescent="0.25">
      <c r="A1306" s="5" t="s">
        <v>137</v>
      </c>
    </row>
    <row r="1307" spans="1:1" x14ac:dyDescent="0.25">
      <c r="A1307" s="5" t="s">
        <v>137</v>
      </c>
    </row>
    <row r="1308" spans="1:1" x14ac:dyDescent="0.25">
      <c r="A1308" s="5" t="s">
        <v>137</v>
      </c>
    </row>
    <row r="1309" spans="1:1" x14ac:dyDescent="0.25">
      <c r="A1309" s="5" t="s">
        <v>136</v>
      </c>
    </row>
    <row r="1310" spans="1:1" x14ac:dyDescent="0.25">
      <c r="A1310" s="5" t="s">
        <v>137</v>
      </c>
    </row>
    <row r="1311" spans="1:1" x14ac:dyDescent="0.25">
      <c r="A1311" s="5" t="s">
        <v>136</v>
      </c>
    </row>
    <row r="1312" spans="1:1" x14ac:dyDescent="0.25">
      <c r="A1312" s="5" t="s">
        <v>136</v>
      </c>
    </row>
    <row r="1313" spans="1:1" x14ac:dyDescent="0.25">
      <c r="A1313" s="5" t="s">
        <v>129</v>
      </c>
    </row>
    <row r="1314" spans="1:1" x14ac:dyDescent="0.25">
      <c r="A1314" s="5" t="s">
        <v>136</v>
      </c>
    </row>
    <row r="1315" spans="1:1" x14ac:dyDescent="0.25">
      <c r="A1315" s="5" t="s">
        <v>131</v>
      </c>
    </row>
    <row r="1316" spans="1:1" x14ac:dyDescent="0.25">
      <c r="A1316" s="5" t="s">
        <v>129</v>
      </c>
    </row>
    <row r="1317" spans="1:1" x14ac:dyDescent="0.25">
      <c r="A1317" s="5" t="s">
        <v>137</v>
      </c>
    </row>
    <row r="1318" spans="1:1" x14ac:dyDescent="0.25">
      <c r="A1318" s="5" t="s">
        <v>136</v>
      </c>
    </row>
    <row r="1319" spans="1:1" x14ac:dyDescent="0.25">
      <c r="A1319" s="5" t="s">
        <v>131</v>
      </c>
    </row>
    <row r="1320" spans="1:1" x14ac:dyDescent="0.25">
      <c r="A1320" s="5" t="s">
        <v>129</v>
      </c>
    </row>
    <row r="1321" spans="1:1" x14ac:dyDescent="0.25">
      <c r="A1321" s="5" t="s">
        <v>137</v>
      </c>
    </row>
    <row r="1322" spans="1:1" x14ac:dyDescent="0.25">
      <c r="A1322" s="5" t="s">
        <v>88</v>
      </c>
    </row>
    <row r="1323" spans="1:1" x14ac:dyDescent="0.25">
      <c r="A1323" s="5" t="s">
        <v>136</v>
      </c>
    </row>
    <row r="1324" spans="1:1" x14ac:dyDescent="0.25">
      <c r="A1324" s="5" t="s">
        <v>131</v>
      </c>
    </row>
    <row r="1325" spans="1:1" x14ac:dyDescent="0.25">
      <c r="A1325" s="5" t="s">
        <v>137</v>
      </c>
    </row>
    <row r="1326" spans="1:1" x14ac:dyDescent="0.25">
      <c r="A1326" s="5" t="s">
        <v>131</v>
      </c>
    </row>
    <row r="1327" spans="1:1" x14ac:dyDescent="0.25">
      <c r="A1327" s="5" t="s">
        <v>137</v>
      </c>
    </row>
    <row r="1328" spans="1:1" x14ac:dyDescent="0.25">
      <c r="A1328" s="5" t="s">
        <v>136</v>
      </c>
    </row>
    <row r="1329" spans="1:1" x14ac:dyDescent="0.25">
      <c r="A1329" s="5" t="s">
        <v>137</v>
      </c>
    </row>
    <row r="1330" spans="1:1" x14ac:dyDescent="0.25">
      <c r="A1330" s="5" t="s">
        <v>136</v>
      </c>
    </row>
    <row r="1331" spans="1:1" x14ac:dyDescent="0.25">
      <c r="A1331" s="5" t="s">
        <v>137</v>
      </c>
    </row>
    <row r="1332" spans="1:1" x14ac:dyDescent="0.25">
      <c r="A1332" s="5" t="s">
        <v>136</v>
      </c>
    </row>
    <row r="1333" spans="1:1" x14ac:dyDescent="0.25">
      <c r="A1333" s="5" t="s">
        <v>17</v>
      </c>
    </row>
    <row r="1334" spans="1:1" x14ac:dyDescent="0.25">
      <c r="A1334" s="5" t="s">
        <v>17</v>
      </c>
    </row>
    <row r="1335" spans="1:1" x14ac:dyDescent="0.25">
      <c r="A1335" s="5" t="s">
        <v>136</v>
      </c>
    </row>
    <row r="1336" spans="1:1" x14ac:dyDescent="0.25">
      <c r="A1336" s="5" t="s">
        <v>137</v>
      </c>
    </row>
    <row r="1337" spans="1:1" x14ac:dyDescent="0.25">
      <c r="A1337" s="5" t="s">
        <v>136</v>
      </c>
    </row>
    <row r="1338" spans="1:1" x14ac:dyDescent="0.25">
      <c r="A1338" s="5" t="s">
        <v>137</v>
      </c>
    </row>
    <row r="1339" spans="1:1" x14ac:dyDescent="0.25">
      <c r="A1339" s="5" t="s">
        <v>136</v>
      </c>
    </row>
    <row r="1340" spans="1:1" x14ac:dyDescent="0.25">
      <c r="A1340" s="5" t="s">
        <v>137</v>
      </c>
    </row>
    <row r="1341" spans="1:1" x14ac:dyDescent="0.25">
      <c r="A1341" s="5" t="s">
        <v>137</v>
      </c>
    </row>
    <row r="1342" spans="1:1" x14ac:dyDescent="0.25">
      <c r="A1342" s="5" t="s">
        <v>136</v>
      </c>
    </row>
    <row r="1343" spans="1:1" x14ac:dyDescent="0.25">
      <c r="A1343" s="5" t="s">
        <v>137</v>
      </c>
    </row>
    <row r="1344" spans="1:1" x14ac:dyDescent="0.25">
      <c r="A1344" s="5" t="s">
        <v>136</v>
      </c>
    </row>
    <row r="1345" spans="1:1" x14ac:dyDescent="0.25">
      <c r="A1345" s="5" t="s">
        <v>137</v>
      </c>
    </row>
    <row r="1346" spans="1:1" x14ac:dyDescent="0.25">
      <c r="A1346" s="5" t="s">
        <v>136</v>
      </c>
    </row>
    <row r="1347" spans="1:1" x14ac:dyDescent="0.25">
      <c r="A1347" s="5" t="s">
        <v>136</v>
      </c>
    </row>
    <row r="1348" spans="1:1" x14ac:dyDescent="0.25">
      <c r="A1348" s="5" t="s">
        <v>137</v>
      </c>
    </row>
    <row r="1349" spans="1:1" x14ac:dyDescent="0.25">
      <c r="A1349" s="5" t="s">
        <v>136</v>
      </c>
    </row>
    <row r="1350" spans="1:1" x14ac:dyDescent="0.25">
      <c r="A1350" s="5" t="s">
        <v>121</v>
      </c>
    </row>
    <row r="1351" spans="1:1" x14ac:dyDescent="0.25">
      <c r="A1351" s="5" t="s">
        <v>137</v>
      </c>
    </row>
    <row r="1352" spans="1:1" x14ac:dyDescent="0.25">
      <c r="A1352" s="5" t="s">
        <v>136</v>
      </c>
    </row>
    <row r="1353" spans="1:1" x14ac:dyDescent="0.25">
      <c r="A1353" s="5" t="s">
        <v>121</v>
      </c>
    </row>
    <row r="1354" spans="1:1" x14ac:dyDescent="0.25">
      <c r="A1354" s="5" t="s">
        <v>137</v>
      </c>
    </row>
    <row r="1355" spans="1:1" x14ac:dyDescent="0.25">
      <c r="A1355" s="5" t="s">
        <v>122</v>
      </c>
    </row>
    <row r="1356" spans="1:1" x14ac:dyDescent="0.25">
      <c r="A1356" s="5" t="s">
        <v>122</v>
      </c>
    </row>
    <row r="1357" spans="1:1" x14ac:dyDescent="0.25">
      <c r="A1357" s="5" t="s">
        <v>137</v>
      </c>
    </row>
    <row r="1358" spans="1:1" x14ac:dyDescent="0.25">
      <c r="A1358" s="5" t="s">
        <v>137</v>
      </c>
    </row>
    <row r="1359" spans="1:1" x14ac:dyDescent="0.25">
      <c r="A1359" s="5" t="s">
        <v>137</v>
      </c>
    </row>
    <row r="1360" spans="1:1" x14ac:dyDescent="0.25">
      <c r="A1360" s="5" t="s">
        <v>155</v>
      </c>
    </row>
    <row r="1361" spans="1:1" x14ac:dyDescent="0.25">
      <c r="A1361" s="5" t="s">
        <v>147</v>
      </c>
    </row>
    <row r="1362" spans="1:1" x14ac:dyDescent="0.25">
      <c r="A1362" s="5" t="s">
        <v>155</v>
      </c>
    </row>
    <row r="1363" spans="1:1" x14ac:dyDescent="0.25">
      <c r="A1363" s="5" t="s">
        <v>17</v>
      </c>
    </row>
    <row r="1364" spans="1:1" x14ac:dyDescent="0.25">
      <c r="A1364" s="5" t="s">
        <v>136</v>
      </c>
    </row>
    <row r="1365" spans="1:1" x14ac:dyDescent="0.25">
      <c r="A1365" s="5" t="s">
        <v>136</v>
      </c>
    </row>
    <row r="1366" spans="1:1" x14ac:dyDescent="0.25">
      <c r="A1366" s="5" t="s">
        <v>156</v>
      </c>
    </row>
    <row r="1367" spans="1:1" x14ac:dyDescent="0.25">
      <c r="A1367" s="5" t="s">
        <v>136</v>
      </c>
    </row>
    <row r="1368" spans="1:1" x14ac:dyDescent="0.25">
      <c r="A1368" s="5" t="s">
        <v>156</v>
      </c>
    </row>
    <row r="1369" spans="1:1" x14ac:dyDescent="0.25">
      <c r="A1369" s="5" t="s">
        <v>118</v>
      </c>
    </row>
    <row r="1370" spans="1:1" x14ac:dyDescent="0.25">
      <c r="A1370" s="5" t="s">
        <v>136</v>
      </c>
    </row>
    <row r="1371" spans="1:1" x14ac:dyDescent="0.25">
      <c r="A1371" s="5" t="s">
        <v>18</v>
      </c>
    </row>
    <row r="1372" spans="1:1" x14ac:dyDescent="0.25">
      <c r="A1372" s="5" t="s">
        <v>78</v>
      </c>
    </row>
    <row r="1373" spans="1:1" x14ac:dyDescent="0.25">
      <c r="A1373" s="5" t="s">
        <v>118</v>
      </c>
    </row>
    <row r="1374" spans="1:1" x14ac:dyDescent="0.25">
      <c r="A1374" s="5" t="s">
        <v>17</v>
      </c>
    </row>
    <row r="1375" spans="1:1" x14ac:dyDescent="0.25">
      <c r="A1375" s="5" t="s">
        <v>136</v>
      </c>
    </row>
    <row r="1376" spans="1:1" x14ac:dyDescent="0.25">
      <c r="A1376" s="5" t="s">
        <v>132</v>
      </c>
    </row>
    <row r="1377" spans="1:1" x14ac:dyDescent="0.25">
      <c r="A1377" s="5" t="s">
        <v>18</v>
      </c>
    </row>
    <row r="1378" spans="1:1" x14ac:dyDescent="0.25">
      <c r="A1378" s="5" t="s">
        <v>137</v>
      </c>
    </row>
    <row r="1379" spans="1:1" x14ac:dyDescent="0.25">
      <c r="A1379" s="5" t="s">
        <v>78</v>
      </c>
    </row>
    <row r="1380" spans="1:1" x14ac:dyDescent="0.25">
      <c r="A1380" s="5" t="s">
        <v>136</v>
      </c>
    </row>
    <row r="1381" spans="1:1" x14ac:dyDescent="0.25">
      <c r="A1381" s="5" t="s">
        <v>132</v>
      </c>
    </row>
    <row r="1382" spans="1:1" x14ac:dyDescent="0.25">
      <c r="A1382" s="5" t="s">
        <v>137</v>
      </c>
    </row>
    <row r="1383" spans="1:1" x14ac:dyDescent="0.25">
      <c r="A1383" s="5" t="s">
        <v>118</v>
      </c>
    </row>
    <row r="1384" spans="1:1" x14ac:dyDescent="0.25">
      <c r="A1384" s="5" t="s">
        <v>107</v>
      </c>
    </row>
    <row r="1385" spans="1:1" x14ac:dyDescent="0.25">
      <c r="A1385" s="5" t="s">
        <v>137</v>
      </c>
    </row>
    <row r="1386" spans="1:1" x14ac:dyDescent="0.25">
      <c r="A1386" s="5" t="s">
        <v>149</v>
      </c>
    </row>
    <row r="1387" spans="1:1" x14ac:dyDescent="0.25">
      <c r="A1387" s="5" t="s">
        <v>78</v>
      </c>
    </row>
    <row r="1388" spans="1:1" x14ac:dyDescent="0.25">
      <c r="A1388" s="5" t="s">
        <v>118</v>
      </c>
    </row>
    <row r="1389" spans="1:1" x14ac:dyDescent="0.25">
      <c r="A1389" s="5" t="s">
        <v>137</v>
      </c>
    </row>
    <row r="1390" spans="1:1" x14ac:dyDescent="0.25">
      <c r="A1390" s="5" t="s">
        <v>109</v>
      </c>
    </row>
    <row r="1391" spans="1:1" x14ac:dyDescent="0.25">
      <c r="A1391" s="5" t="s">
        <v>149</v>
      </c>
    </row>
    <row r="1392" spans="1:1" x14ac:dyDescent="0.25">
      <c r="A1392" s="5" t="s">
        <v>78</v>
      </c>
    </row>
    <row r="1393" spans="1:1" x14ac:dyDescent="0.25">
      <c r="A1393" s="5" t="s">
        <v>137</v>
      </c>
    </row>
    <row r="1394" spans="1:1" x14ac:dyDescent="0.25">
      <c r="A1394" s="5" t="s">
        <v>78</v>
      </c>
    </row>
    <row r="1395" spans="1:1" x14ac:dyDescent="0.25">
      <c r="A1395" s="5" t="s">
        <v>136</v>
      </c>
    </row>
    <row r="1396" spans="1:1" x14ac:dyDescent="0.25">
      <c r="A1396" s="5" t="s">
        <v>137</v>
      </c>
    </row>
    <row r="1397" spans="1:1" x14ac:dyDescent="0.25">
      <c r="A1397" s="5" t="s">
        <v>136</v>
      </c>
    </row>
    <row r="1398" spans="1:1" x14ac:dyDescent="0.25">
      <c r="A1398" s="5" t="s">
        <v>78</v>
      </c>
    </row>
    <row r="1399" spans="1:1" x14ac:dyDescent="0.25">
      <c r="A1399" s="5" t="s">
        <v>78</v>
      </c>
    </row>
    <row r="1400" spans="1:1" x14ac:dyDescent="0.25">
      <c r="A1400" s="5" t="s">
        <v>136</v>
      </c>
    </row>
    <row r="1401" spans="1:1" x14ac:dyDescent="0.25">
      <c r="A1401" s="5" t="s">
        <v>78</v>
      </c>
    </row>
    <row r="1402" spans="1:1" x14ac:dyDescent="0.25">
      <c r="A1402" s="5" t="s">
        <v>136</v>
      </c>
    </row>
    <row r="1403" spans="1:1" x14ac:dyDescent="0.25">
      <c r="A1403" s="5" t="s">
        <v>137</v>
      </c>
    </row>
    <row r="1404" spans="1:1" x14ac:dyDescent="0.25">
      <c r="A1404" s="5" t="s">
        <v>78</v>
      </c>
    </row>
    <row r="1405" spans="1:1" x14ac:dyDescent="0.25">
      <c r="A1405" s="5" t="s">
        <v>136</v>
      </c>
    </row>
    <row r="1406" spans="1:1" x14ac:dyDescent="0.25">
      <c r="A1406" s="5" t="s">
        <v>78</v>
      </c>
    </row>
    <row r="1407" spans="1:1" x14ac:dyDescent="0.25">
      <c r="A1407" s="5" t="s">
        <v>137</v>
      </c>
    </row>
    <row r="1408" spans="1:1" x14ac:dyDescent="0.25">
      <c r="A1408" s="5" t="s">
        <v>78</v>
      </c>
    </row>
    <row r="1409" spans="1:1" x14ac:dyDescent="0.25">
      <c r="A1409" s="5" t="s">
        <v>137</v>
      </c>
    </row>
    <row r="1410" spans="1:1" x14ac:dyDescent="0.25">
      <c r="A1410" s="5" t="s">
        <v>17</v>
      </c>
    </row>
    <row r="1411" spans="1:1" x14ac:dyDescent="0.25">
      <c r="A1411" s="5" t="s">
        <v>137</v>
      </c>
    </row>
    <row r="1412" spans="1:1" x14ac:dyDescent="0.25">
      <c r="A1412" s="5" t="s">
        <v>137</v>
      </c>
    </row>
    <row r="1413" spans="1:1" x14ac:dyDescent="0.25">
      <c r="A1413" s="5" t="s">
        <v>137</v>
      </c>
    </row>
    <row r="1414" spans="1:1" x14ac:dyDescent="0.25">
      <c r="A1414" s="5" t="s">
        <v>107</v>
      </c>
    </row>
    <row r="1415" spans="1:1" x14ac:dyDescent="0.25">
      <c r="A1415" s="5" t="s">
        <v>109</v>
      </c>
    </row>
    <row r="1416" spans="1:1" x14ac:dyDescent="0.25">
      <c r="A1416" s="5" t="s">
        <v>157</v>
      </c>
    </row>
    <row r="1417" spans="1:1" x14ac:dyDescent="0.25">
      <c r="A1417" s="5" t="s">
        <v>157</v>
      </c>
    </row>
    <row r="1418" spans="1:1" x14ac:dyDescent="0.25">
      <c r="A1418" s="5" t="s">
        <v>136</v>
      </c>
    </row>
    <row r="1419" spans="1:1" x14ac:dyDescent="0.25">
      <c r="A1419" s="5" t="s">
        <v>158</v>
      </c>
    </row>
    <row r="1420" spans="1:1" x14ac:dyDescent="0.25">
      <c r="A1420" s="5" t="s">
        <v>159</v>
      </c>
    </row>
    <row r="1421" spans="1:1" x14ac:dyDescent="0.25">
      <c r="A1421" s="5" t="s">
        <v>136</v>
      </c>
    </row>
    <row r="1422" spans="1:1" x14ac:dyDescent="0.25">
      <c r="A1422" s="5" t="s">
        <v>136</v>
      </c>
    </row>
    <row r="1423" spans="1:1" x14ac:dyDescent="0.25">
      <c r="A1423" s="5" t="s">
        <v>157</v>
      </c>
    </row>
    <row r="1424" spans="1:1" x14ac:dyDescent="0.25">
      <c r="A1424" s="5" t="s">
        <v>17</v>
      </c>
    </row>
    <row r="1425" spans="1:1" x14ac:dyDescent="0.25">
      <c r="A1425" s="5" t="s">
        <v>137</v>
      </c>
    </row>
    <row r="1426" spans="1:1" x14ac:dyDescent="0.25">
      <c r="A1426" s="5" t="s">
        <v>137</v>
      </c>
    </row>
    <row r="1427" spans="1:1" x14ac:dyDescent="0.25">
      <c r="A1427" s="5" t="s">
        <v>137</v>
      </c>
    </row>
    <row r="1428" spans="1:1" x14ac:dyDescent="0.25">
      <c r="A1428" s="5" t="s">
        <v>147</v>
      </c>
    </row>
    <row r="1429" spans="1:1" x14ac:dyDescent="0.25">
      <c r="A1429" s="5" t="s">
        <v>136</v>
      </c>
    </row>
    <row r="1430" spans="1:1" x14ac:dyDescent="0.25">
      <c r="A1430" s="5" t="s">
        <v>136</v>
      </c>
    </row>
    <row r="1431" spans="1:1" x14ac:dyDescent="0.25">
      <c r="A1431" s="5" t="s">
        <v>136</v>
      </c>
    </row>
    <row r="1432" spans="1:1" x14ac:dyDescent="0.25">
      <c r="A1432" s="5" t="s">
        <v>17</v>
      </c>
    </row>
    <row r="1433" spans="1:1" x14ac:dyDescent="0.25">
      <c r="A1433" s="5" t="s">
        <v>137</v>
      </c>
    </row>
    <row r="1434" spans="1:1" x14ac:dyDescent="0.25">
      <c r="A1434" s="5" t="s">
        <v>137</v>
      </c>
    </row>
    <row r="1435" spans="1:1" x14ac:dyDescent="0.25">
      <c r="A1435" s="5" t="s">
        <v>160</v>
      </c>
    </row>
    <row r="1436" spans="1:1" x14ac:dyDescent="0.25">
      <c r="A1436" s="5" t="s">
        <v>137</v>
      </c>
    </row>
    <row r="1437" spans="1:1" x14ac:dyDescent="0.25">
      <c r="A1437" s="5" t="s">
        <v>88</v>
      </c>
    </row>
    <row r="1438" spans="1:1" x14ac:dyDescent="0.25">
      <c r="A1438" s="5" t="s">
        <v>160</v>
      </c>
    </row>
    <row r="1439" spans="1:1" x14ac:dyDescent="0.25">
      <c r="A1439" s="5" t="s">
        <v>98</v>
      </c>
    </row>
    <row r="1440" spans="1:1" x14ac:dyDescent="0.25">
      <c r="A1440" s="5" t="s">
        <v>136</v>
      </c>
    </row>
    <row r="1441" spans="1:1" x14ac:dyDescent="0.25">
      <c r="A1441" s="5" t="s">
        <v>136</v>
      </c>
    </row>
    <row r="1442" spans="1:1" x14ac:dyDescent="0.25">
      <c r="A1442" s="5" t="s">
        <v>136</v>
      </c>
    </row>
    <row r="1443" spans="1:1" x14ac:dyDescent="0.25">
      <c r="A1443" s="5" t="s">
        <v>137</v>
      </c>
    </row>
    <row r="1444" spans="1:1" x14ac:dyDescent="0.25">
      <c r="A1444" s="5" t="s">
        <v>137</v>
      </c>
    </row>
    <row r="1445" spans="1:1" x14ac:dyDescent="0.25">
      <c r="A1445" s="5" t="s">
        <v>137</v>
      </c>
    </row>
    <row r="1446" spans="1:1" x14ac:dyDescent="0.25">
      <c r="A1446" s="5" t="s">
        <v>136</v>
      </c>
    </row>
    <row r="1447" spans="1:1" x14ac:dyDescent="0.25">
      <c r="A1447" s="5" t="s">
        <v>136</v>
      </c>
    </row>
    <row r="1448" spans="1:1" x14ac:dyDescent="0.25">
      <c r="A1448" s="5" t="s">
        <v>136</v>
      </c>
    </row>
    <row r="1449" spans="1:1" x14ac:dyDescent="0.25">
      <c r="A1449" s="5" t="s">
        <v>17</v>
      </c>
    </row>
    <row r="1450" spans="1:1" x14ac:dyDescent="0.25">
      <c r="A1450" s="5" t="s">
        <v>157</v>
      </c>
    </row>
    <row r="1451" spans="1:1" x14ac:dyDescent="0.25">
      <c r="A1451" s="5" t="s">
        <v>136</v>
      </c>
    </row>
    <row r="1452" spans="1:1" x14ac:dyDescent="0.25">
      <c r="A1452" s="5" t="s">
        <v>136</v>
      </c>
    </row>
    <row r="1453" spans="1:1" x14ac:dyDescent="0.25">
      <c r="A1453" s="5" t="s">
        <v>137</v>
      </c>
    </row>
    <row r="1454" spans="1:1" x14ac:dyDescent="0.25">
      <c r="A1454" s="5" t="s">
        <v>136</v>
      </c>
    </row>
    <row r="1455" spans="1:1" x14ac:dyDescent="0.25">
      <c r="A1455" s="5" t="s">
        <v>137</v>
      </c>
    </row>
    <row r="1456" spans="1:1" x14ac:dyDescent="0.25">
      <c r="A1456" s="5" t="s">
        <v>161</v>
      </c>
    </row>
    <row r="1457" spans="1:1" x14ac:dyDescent="0.25">
      <c r="A1457" s="5" t="s">
        <v>137</v>
      </c>
    </row>
    <row r="1458" spans="1:1" x14ac:dyDescent="0.25">
      <c r="A1458" s="5" t="s">
        <v>137</v>
      </c>
    </row>
    <row r="1459" spans="1:1" x14ac:dyDescent="0.25">
      <c r="A1459" s="5" t="s">
        <v>136</v>
      </c>
    </row>
    <row r="1460" spans="1:1" x14ac:dyDescent="0.25">
      <c r="A1460" s="5" t="s">
        <v>137</v>
      </c>
    </row>
    <row r="1461" spans="1:1" x14ac:dyDescent="0.25">
      <c r="A1461" s="5" t="s">
        <v>136</v>
      </c>
    </row>
    <row r="1462" spans="1:1" x14ac:dyDescent="0.25">
      <c r="A1462" s="5" t="s">
        <v>157</v>
      </c>
    </row>
    <row r="1463" spans="1:1" x14ac:dyDescent="0.25">
      <c r="A1463" s="5" t="s">
        <v>136</v>
      </c>
    </row>
    <row r="1464" spans="1:1" x14ac:dyDescent="0.25">
      <c r="A1464" s="5" t="s">
        <v>137</v>
      </c>
    </row>
    <row r="1465" spans="1:1" x14ac:dyDescent="0.25">
      <c r="A1465" s="5" t="s">
        <v>137</v>
      </c>
    </row>
    <row r="1466" spans="1:1" x14ac:dyDescent="0.25">
      <c r="A1466" s="5" t="s">
        <v>137</v>
      </c>
    </row>
    <row r="1467" spans="1:1" x14ac:dyDescent="0.25">
      <c r="A1467" s="5" t="s">
        <v>136</v>
      </c>
    </row>
    <row r="1468" spans="1:1" x14ac:dyDescent="0.25">
      <c r="A1468" s="5" t="s">
        <v>129</v>
      </c>
    </row>
    <row r="1469" spans="1:1" x14ac:dyDescent="0.25">
      <c r="A1469" s="5" t="s">
        <v>131</v>
      </c>
    </row>
    <row r="1470" spans="1:1" x14ac:dyDescent="0.25">
      <c r="A1470" s="5" t="s">
        <v>136</v>
      </c>
    </row>
    <row r="1471" spans="1:1" x14ac:dyDescent="0.25">
      <c r="A1471" s="5" t="s">
        <v>136</v>
      </c>
    </row>
    <row r="1472" spans="1:1" x14ac:dyDescent="0.25">
      <c r="A1472" s="5" t="s">
        <v>155</v>
      </c>
    </row>
    <row r="1473" spans="1:1" x14ac:dyDescent="0.25">
      <c r="A1473" s="5" t="s">
        <v>105</v>
      </c>
    </row>
    <row r="1474" spans="1:1" x14ac:dyDescent="0.25">
      <c r="A1474" s="5" t="s">
        <v>101</v>
      </c>
    </row>
    <row r="1475" spans="1:1" x14ac:dyDescent="0.25">
      <c r="A1475" s="5" t="s">
        <v>136</v>
      </c>
    </row>
    <row r="1476" spans="1:1" x14ac:dyDescent="0.25">
      <c r="A1476" s="5" t="s">
        <v>137</v>
      </c>
    </row>
    <row r="1477" spans="1:1" x14ac:dyDescent="0.25">
      <c r="A1477" s="5" t="s">
        <v>136</v>
      </c>
    </row>
    <row r="1478" spans="1:1" x14ac:dyDescent="0.25">
      <c r="A1478" s="5" t="s">
        <v>137</v>
      </c>
    </row>
    <row r="1479" spans="1:1" x14ac:dyDescent="0.25">
      <c r="A1479" s="5" t="s">
        <v>146</v>
      </c>
    </row>
    <row r="1480" spans="1:1" x14ac:dyDescent="0.25">
      <c r="A1480" s="5" t="s">
        <v>17</v>
      </c>
    </row>
    <row r="1481" spans="1:1" x14ac:dyDescent="0.25">
      <c r="A1481" s="5" t="s">
        <v>137</v>
      </c>
    </row>
    <row r="1482" spans="1:1" x14ac:dyDescent="0.25">
      <c r="A1482" s="5" t="s">
        <v>136</v>
      </c>
    </row>
    <row r="1483" spans="1:1" x14ac:dyDescent="0.25">
      <c r="A1483" s="5" t="s">
        <v>137</v>
      </c>
    </row>
    <row r="1484" spans="1:1" x14ac:dyDescent="0.25">
      <c r="A1484" s="5" t="s">
        <v>136</v>
      </c>
    </row>
    <row r="1485" spans="1:1" x14ac:dyDescent="0.25">
      <c r="A1485" s="5" t="s">
        <v>137</v>
      </c>
    </row>
    <row r="1486" spans="1:1" x14ac:dyDescent="0.25">
      <c r="A1486" s="5" t="s">
        <v>136</v>
      </c>
    </row>
    <row r="1487" spans="1:1" x14ac:dyDescent="0.25">
      <c r="A1487" s="5" t="s">
        <v>136</v>
      </c>
    </row>
    <row r="1488" spans="1:1" x14ac:dyDescent="0.25">
      <c r="A1488" s="5" t="s">
        <v>137</v>
      </c>
    </row>
    <row r="1489" spans="1:1" x14ac:dyDescent="0.25">
      <c r="A1489" s="5" t="s">
        <v>136</v>
      </c>
    </row>
    <row r="1490" spans="1:1" x14ac:dyDescent="0.25">
      <c r="A1490" s="5" t="s">
        <v>136</v>
      </c>
    </row>
    <row r="1491" spans="1:1" x14ac:dyDescent="0.25">
      <c r="A1491" s="5" t="s">
        <v>137</v>
      </c>
    </row>
    <row r="1492" spans="1:1" x14ac:dyDescent="0.25">
      <c r="A1492" s="5" t="s">
        <v>137</v>
      </c>
    </row>
    <row r="1493" spans="1:1" x14ac:dyDescent="0.25">
      <c r="A1493" s="5" t="s">
        <v>137</v>
      </c>
    </row>
    <row r="1494" spans="1:1" x14ac:dyDescent="0.25">
      <c r="A1494" s="5" t="s">
        <v>137</v>
      </c>
    </row>
    <row r="1495" spans="1:1" x14ac:dyDescent="0.25">
      <c r="A1495" s="5" t="s">
        <v>136</v>
      </c>
    </row>
    <row r="1496" spans="1:1" x14ac:dyDescent="0.25">
      <c r="A1496" s="5" t="s">
        <v>136</v>
      </c>
    </row>
    <row r="1497" spans="1:1" x14ac:dyDescent="0.25">
      <c r="A1497" s="5" t="s">
        <v>136</v>
      </c>
    </row>
    <row r="1498" spans="1:1" x14ac:dyDescent="0.25">
      <c r="A1498" s="5" t="s">
        <v>137</v>
      </c>
    </row>
    <row r="1499" spans="1:1" x14ac:dyDescent="0.25">
      <c r="A1499" s="5" t="s">
        <v>137</v>
      </c>
    </row>
    <row r="1500" spans="1:1" x14ac:dyDescent="0.25">
      <c r="A1500" s="5" t="s">
        <v>137</v>
      </c>
    </row>
    <row r="1501" spans="1:1" x14ac:dyDescent="0.25">
      <c r="A1501" s="5" t="s">
        <v>136</v>
      </c>
    </row>
    <row r="1502" spans="1:1" x14ac:dyDescent="0.25">
      <c r="A1502" s="5" t="s">
        <v>136</v>
      </c>
    </row>
    <row r="1503" spans="1:1" x14ac:dyDescent="0.25">
      <c r="A1503" s="5" t="s">
        <v>136</v>
      </c>
    </row>
    <row r="1504" spans="1:1" x14ac:dyDescent="0.25">
      <c r="A1504" s="5" t="s">
        <v>162</v>
      </c>
    </row>
    <row r="1505" spans="1:1" x14ac:dyDescent="0.25">
      <c r="A1505" s="5" t="s">
        <v>163</v>
      </c>
    </row>
    <row r="1506" spans="1:1" x14ac:dyDescent="0.25">
      <c r="A1506" s="5" t="s">
        <v>137</v>
      </c>
    </row>
    <row r="1507" spans="1:1" x14ac:dyDescent="0.25">
      <c r="A1507" s="5" t="s">
        <v>137</v>
      </c>
    </row>
    <row r="1508" spans="1:1" x14ac:dyDescent="0.25">
      <c r="A1508" s="5" t="s">
        <v>136</v>
      </c>
    </row>
    <row r="1509" spans="1:1" x14ac:dyDescent="0.25">
      <c r="A1509" s="5" t="s">
        <v>136</v>
      </c>
    </row>
    <row r="1510" spans="1:1" x14ac:dyDescent="0.25">
      <c r="A1510" s="5" t="s">
        <v>136</v>
      </c>
    </row>
    <row r="1511" spans="1:1" x14ac:dyDescent="0.25">
      <c r="A1511" s="5" t="s">
        <v>136</v>
      </c>
    </row>
    <row r="1512" spans="1:1" x14ac:dyDescent="0.25">
      <c r="A1512" s="5" t="s">
        <v>136</v>
      </c>
    </row>
    <row r="1513" spans="1:1" x14ac:dyDescent="0.25">
      <c r="A1513" s="5" t="s">
        <v>137</v>
      </c>
    </row>
    <row r="1514" spans="1:1" x14ac:dyDescent="0.25">
      <c r="A1514" s="5" t="s">
        <v>137</v>
      </c>
    </row>
    <row r="1515" spans="1:1" x14ac:dyDescent="0.25">
      <c r="A1515" s="5" t="s">
        <v>137</v>
      </c>
    </row>
    <row r="1516" spans="1:1" x14ac:dyDescent="0.25">
      <c r="A1516" s="5" t="s">
        <v>136</v>
      </c>
    </row>
    <row r="1517" spans="1:1" x14ac:dyDescent="0.25">
      <c r="A1517" s="5" t="s">
        <v>136</v>
      </c>
    </row>
    <row r="1518" spans="1:1" x14ac:dyDescent="0.25">
      <c r="A1518" s="5" t="s">
        <v>136</v>
      </c>
    </row>
    <row r="1519" spans="1:1" x14ac:dyDescent="0.25">
      <c r="A1519" s="5" t="s">
        <v>137</v>
      </c>
    </row>
    <row r="1520" spans="1:1" x14ac:dyDescent="0.25">
      <c r="A1520" s="5" t="s">
        <v>137</v>
      </c>
    </row>
    <row r="1521" spans="1:1" x14ac:dyDescent="0.25">
      <c r="A1521" s="5" t="s">
        <v>137</v>
      </c>
    </row>
    <row r="1522" spans="1:1" x14ac:dyDescent="0.25">
      <c r="A1522" s="5" t="s">
        <v>88</v>
      </c>
    </row>
    <row r="1523" spans="1:1" x14ac:dyDescent="0.25">
      <c r="A1523" s="5" t="s">
        <v>17</v>
      </c>
    </row>
    <row r="1524" spans="1:1" x14ac:dyDescent="0.25">
      <c r="A1524" s="5" t="s">
        <v>89</v>
      </c>
    </row>
    <row r="1525" spans="1:1" x14ac:dyDescent="0.25">
      <c r="A1525" s="5" t="s">
        <v>136</v>
      </c>
    </row>
    <row r="1526" spans="1:1" x14ac:dyDescent="0.25">
      <c r="A1526" s="5" t="s">
        <v>136</v>
      </c>
    </row>
    <row r="1527" spans="1:1" x14ac:dyDescent="0.25">
      <c r="A1527" s="5" t="s">
        <v>137</v>
      </c>
    </row>
    <row r="1528" spans="1:1" x14ac:dyDescent="0.25">
      <c r="A1528" s="5" t="s">
        <v>137</v>
      </c>
    </row>
    <row r="1529" spans="1:1" x14ac:dyDescent="0.25">
      <c r="A1529" s="5" t="s">
        <v>137</v>
      </c>
    </row>
    <row r="1530" spans="1:1" x14ac:dyDescent="0.25">
      <c r="A1530" s="5" t="s">
        <v>17</v>
      </c>
    </row>
    <row r="1531" spans="1:1" x14ac:dyDescent="0.25">
      <c r="A1531" s="5" t="s">
        <v>138</v>
      </c>
    </row>
    <row r="1532" spans="1:1" x14ac:dyDescent="0.25">
      <c r="A1532" s="5" t="s">
        <v>84</v>
      </c>
    </row>
    <row r="1533" spans="1:1" x14ac:dyDescent="0.25">
      <c r="A1533" s="5" t="s">
        <v>86</v>
      </c>
    </row>
    <row r="1534" spans="1:1" x14ac:dyDescent="0.25">
      <c r="A1534" s="5" t="s">
        <v>74</v>
      </c>
    </row>
    <row r="1535" spans="1:1" x14ac:dyDescent="0.25">
      <c r="A1535" s="5" t="s">
        <v>75</v>
      </c>
    </row>
    <row r="1536" spans="1:1" x14ac:dyDescent="0.25">
      <c r="A1536" s="5" t="s">
        <v>158</v>
      </c>
    </row>
    <row r="1537" spans="1:1" x14ac:dyDescent="0.25">
      <c r="A1537" s="5" t="s">
        <v>159</v>
      </c>
    </row>
    <row r="1538" spans="1:1" x14ac:dyDescent="0.25">
      <c r="A1538" s="5" t="s">
        <v>164</v>
      </c>
    </row>
    <row r="1539" spans="1:1" x14ac:dyDescent="0.25">
      <c r="A1539" s="5" t="s">
        <v>17</v>
      </c>
    </row>
    <row r="1540" spans="1:1" x14ac:dyDescent="0.25">
      <c r="A1540" s="5" t="s">
        <v>17</v>
      </c>
    </row>
    <row r="1541" spans="1:1" x14ac:dyDescent="0.25">
      <c r="A1541" s="5" t="s">
        <v>147</v>
      </c>
    </row>
    <row r="1542" spans="1:1" x14ac:dyDescent="0.25">
      <c r="A1542" s="5" t="s">
        <v>17</v>
      </c>
    </row>
    <row r="1543" spans="1:1" x14ac:dyDescent="0.25">
      <c r="A1543" s="5" t="s">
        <v>71</v>
      </c>
    </row>
    <row r="1544" spans="1:1" x14ac:dyDescent="0.25">
      <c r="A1544" s="5" t="s">
        <v>72</v>
      </c>
    </row>
    <row r="1545" spans="1:1" x14ac:dyDescent="0.25">
      <c r="A1545" s="5" t="s">
        <v>165</v>
      </c>
    </row>
    <row r="1546" spans="1:1" x14ac:dyDescent="0.25">
      <c r="A1546" s="5" t="s">
        <v>17</v>
      </c>
    </row>
    <row r="1547" spans="1:1" x14ac:dyDescent="0.25">
      <c r="A1547" s="5" t="s">
        <v>17</v>
      </c>
    </row>
    <row r="1548" spans="1:1" x14ac:dyDescent="0.25">
      <c r="A1548" s="5" t="s">
        <v>166</v>
      </c>
    </row>
    <row r="1549" spans="1:1" x14ac:dyDescent="0.25">
      <c r="A1549" s="5" t="s">
        <v>166</v>
      </c>
    </row>
    <row r="1550" spans="1:1" x14ac:dyDescent="0.25">
      <c r="A1550" s="5" t="s">
        <v>167</v>
      </c>
    </row>
    <row r="1551" spans="1:1" x14ac:dyDescent="0.25">
      <c r="A1551" s="5" t="s">
        <v>92</v>
      </c>
    </row>
    <row r="1552" spans="1:1" x14ac:dyDescent="0.25">
      <c r="A1552" s="5" t="s">
        <v>17</v>
      </c>
    </row>
    <row r="1553" spans="1:1" x14ac:dyDescent="0.25">
      <c r="A1553" s="5" t="s">
        <v>92</v>
      </c>
    </row>
    <row r="1554" spans="1:1" x14ac:dyDescent="0.25">
      <c r="A1554" s="5" t="s">
        <v>168</v>
      </c>
    </row>
    <row r="1555" spans="1:1" x14ac:dyDescent="0.25">
      <c r="A1555" s="5" t="s">
        <v>169</v>
      </c>
    </row>
    <row r="1556" spans="1:1" x14ac:dyDescent="0.25">
      <c r="A1556" s="5" t="s">
        <v>147</v>
      </c>
    </row>
    <row r="1557" spans="1:1" x14ac:dyDescent="0.25">
      <c r="A1557" s="5" t="s">
        <v>168</v>
      </c>
    </row>
    <row r="1558" spans="1:1" x14ac:dyDescent="0.25">
      <c r="A1558" s="5" t="s">
        <v>74</v>
      </c>
    </row>
    <row r="1559" spans="1:1" x14ac:dyDescent="0.25">
      <c r="A1559" s="5" t="s">
        <v>74</v>
      </c>
    </row>
    <row r="1560" spans="1:1" x14ac:dyDescent="0.25">
      <c r="A1560" s="5" t="s">
        <v>74</v>
      </c>
    </row>
    <row r="1561" spans="1:1" x14ac:dyDescent="0.25">
      <c r="A1561" s="5" t="s">
        <v>75</v>
      </c>
    </row>
    <row r="1562" spans="1:1" x14ac:dyDescent="0.25">
      <c r="A1562" s="5" t="s">
        <v>170</v>
      </c>
    </row>
    <row r="1563" spans="1:1" x14ac:dyDescent="0.25">
      <c r="A1563" s="5" t="s">
        <v>75</v>
      </c>
    </row>
    <row r="1564" spans="1:1" x14ac:dyDescent="0.25">
      <c r="A1564" s="5" t="s">
        <v>17</v>
      </c>
    </row>
    <row r="1565" spans="1:1" x14ac:dyDescent="0.25">
      <c r="A1565" s="5" t="s">
        <v>75</v>
      </c>
    </row>
    <row r="1566" spans="1:1" x14ac:dyDescent="0.25">
      <c r="A1566" s="5" t="s">
        <v>171</v>
      </c>
    </row>
    <row r="1567" spans="1:1" x14ac:dyDescent="0.25">
      <c r="A1567" s="5" t="s">
        <v>88</v>
      </c>
    </row>
    <row r="1568" spans="1:1" x14ac:dyDescent="0.25">
      <c r="A1568" s="5" t="s">
        <v>70</v>
      </c>
    </row>
    <row r="1569" spans="1:1" x14ac:dyDescent="0.25">
      <c r="A1569" s="5" t="s">
        <v>89</v>
      </c>
    </row>
    <row r="1570" spans="1:1" x14ac:dyDescent="0.25">
      <c r="A1570" s="5" t="s">
        <v>17</v>
      </c>
    </row>
    <row r="1571" spans="1:1" x14ac:dyDescent="0.25">
      <c r="A1571" s="5" t="s">
        <v>172</v>
      </c>
    </row>
    <row r="1572" spans="1:1" x14ac:dyDescent="0.25">
      <c r="A1572" s="5" t="s">
        <v>71</v>
      </c>
    </row>
    <row r="1573" spans="1:1" x14ac:dyDescent="0.25">
      <c r="A1573" s="5" t="s">
        <v>72</v>
      </c>
    </row>
    <row r="1574" spans="1:1" x14ac:dyDescent="0.25">
      <c r="A1574" s="5" t="s">
        <v>172</v>
      </c>
    </row>
    <row r="1575" spans="1:1" x14ac:dyDescent="0.25">
      <c r="A1575" s="5" t="s">
        <v>148</v>
      </c>
    </row>
    <row r="1576" spans="1:1" x14ac:dyDescent="0.25">
      <c r="A1576" s="5" t="s">
        <v>148</v>
      </c>
    </row>
    <row r="1577" spans="1:1" x14ac:dyDescent="0.25">
      <c r="A1577" s="5" t="s">
        <v>148</v>
      </c>
    </row>
    <row r="1578" spans="1:1" x14ac:dyDescent="0.25">
      <c r="A1578" s="5" t="s">
        <v>147</v>
      </c>
    </row>
    <row r="1579" spans="1:1" x14ac:dyDescent="0.25">
      <c r="A1579" s="5" t="s">
        <v>173</v>
      </c>
    </row>
    <row r="1580" spans="1:1" x14ac:dyDescent="0.25">
      <c r="A1580" s="5" t="s">
        <v>148</v>
      </c>
    </row>
    <row r="1581" spans="1:1" x14ac:dyDescent="0.25">
      <c r="A1581" s="5" t="s">
        <v>148</v>
      </c>
    </row>
    <row r="1582" spans="1:1" x14ac:dyDescent="0.25">
      <c r="A1582" s="5" t="s">
        <v>148</v>
      </c>
    </row>
    <row r="1583" spans="1:1" x14ac:dyDescent="0.25">
      <c r="A1583" s="5" t="s">
        <v>86</v>
      </c>
    </row>
    <row r="1584" spans="1:1" x14ac:dyDescent="0.25">
      <c r="A1584" s="5" t="s">
        <v>148</v>
      </c>
    </row>
    <row r="1585" spans="1:1" x14ac:dyDescent="0.25">
      <c r="A1585" s="5" t="s">
        <v>17</v>
      </c>
    </row>
    <row r="1586" spans="1:1" x14ac:dyDescent="0.25">
      <c r="A1586" s="5" t="s">
        <v>17</v>
      </c>
    </row>
    <row r="1587" spans="1:1" x14ac:dyDescent="0.25">
      <c r="A1587" s="5" t="s">
        <v>174</v>
      </c>
    </row>
    <row r="1588" spans="1:1" x14ac:dyDescent="0.25">
      <c r="A1588" s="5" t="s">
        <v>17</v>
      </c>
    </row>
    <row r="1589" spans="1:1" x14ac:dyDescent="0.25">
      <c r="A1589" s="5" t="s">
        <v>174</v>
      </c>
    </row>
    <row r="1590" spans="1:1" x14ac:dyDescent="0.25">
      <c r="A1590" s="5" t="s">
        <v>174</v>
      </c>
    </row>
    <row r="1591" spans="1:1" x14ac:dyDescent="0.25">
      <c r="A1591" s="5" t="s">
        <v>17</v>
      </c>
    </row>
    <row r="1592" spans="1:1" x14ac:dyDescent="0.25">
      <c r="A1592" s="5" t="s">
        <v>175</v>
      </c>
    </row>
    <row r="1593" spans="1:1" x14ac:dyDescent="0.25">
      <c r="A1593" s="5" t="s">
        <v>176</v>
      </c>
    </row>
    <row r="1594" spans="1:1" x14ac:dyDescent="0.25">
      <c r="A1594" s="5" t="s">
        <v>177</v>
      </c>
    </row>
    <row r="1595" spans="1:1" x14ac:dyDescent="0.25">
      <c r="A1595" s="5" t="s">
        <v>89</v>
      </c>
    </row>
    <row r="1596" spans="1:1" x14ac:dyDescent="0.25">
      <c r="A1596" s="5" t="s">
        <v>178</v>
      </c>
    </row>
    <row r="1597" spans="1:1" x14ac:dyDescent="0.25">
      <c r="A1597" s="5" t="s">
        <v>17</v>
      </c>
    </row>
    <row r="1598" spans="1:1" x14ac:dyDescent="0.25">
      <c r="A1598" s="5" t="s">
        <v>179</v>
      </c>
    </row>
    <row r="1599" spans="1:1" x14ac:dyDescent="0.25">
      <c r="A1599" s="5" t="s">
        <v>172</v>
      </c>
    </row>
    <row r="1600" spans="1:1" x14ac:dyDescent="0.25">
      <c r="A1600" s="5" t="s">
        <v>95</v>
      </c>
    </row>
    <row r="1601" spans="1:1" x14ac:dyDescent="0.25">
      <c r="A1601" s="5" t="s">
        <v>95</v>
      </c>
    </row>
    <row r="1602" spans="1:1" x14ac:dyDescent="0.25">
      <c r="A1602" s="5" t="s">
        <v>95</v>
      </c>
    </row>
    <row r="1603" spans="1:1" x14ac:dyDescent="0.25">
      <c r="A1603" s="5" t="s">
        <v>96</v>
      </c>
    </row>
    <row r="1604" spans="1:1" x14ac:dyDescent="0.25">
      <c r="A1604" s="5" t="s">
        <v>143</v>
      </c>
    </row>
    <row r="1605" spans="1:1" x14ac:dyDescent="0.25">
      <c r="A1605" s="5" t="s">
        <v>96</v>
      </c>
    </row>
    <row r="1606" spans="1:1" x14ac:dyDescent="0.25">
      <c r="A1606" s="5" t="s">
        <v>143</v>
      </c>
    </row>
    <row r="1607" spans="1:1" x14ac:dyDescent="0.25">
      <c r="A1607" s="5" t="s">
        <v>143</v>
      </c>
    </row>
    <row r="1608" spans="1:1" x14ac:dyDescent="0.25">
      <c r="A1608" s="5" t="s">
        <v>96</v>
      </c>
    </row>
    <row r="1609" spans="1:1" x14ac:dyDescent="0.25">
      <c r="A1609" s="5" t="s">
        <v>154</v>
      </c>
    </row>
    <row r="1610" spans="1:1" x14ac:dyDescent="0.25">
      <c r="A1610" s="5" t="s">
        <v>74</v>
      </c>
    </row>
    <row r="1611" spans="1:1" x14ac:dyDescent="0.25">
      <c r="A1611" s="5" t="s">
        <v>154</v>
      </c>
    </row>
    <row r="1612" spans="1:1" x14ac:dyDescent="0.25">
      <c r="A1612" s="5" t="s">
        <v>154</v>
      </c>
    </row>
    <row r="1613" spans="1:1" x14ac:dyDescent="0.25">
      <c r="A1613" s="5" t="s">
        <v>75</v>
      </c>
    </row>
    <row r="1614" spans="1:1" x14ac:dyDescent="0.25">
      <c r="A1614" s="5" t="s">
        <v>74</v>
      </c>
    </row>
    <row r="1615" spans="1:1" x14ac:dyDescent="0.25">
      <c r="A1615" s="5" t="s">
        <v>75</v>
      </c>
    </row>
    <row r="1616" spans="1:1" x14ac:dyDescent="0.25">
      <c r="A1616" s="5" t="s">
        <v>143</v>
      </c>
    </row>
    <row r="1617" spans="1:1" x14ac:dyDescent="0.25">
      <c r="A1617" s="5" t="s">
        <v>180</v>
      </c>
    </row>
    <row r="1618" spans="1:1" x14ac:dyDescent="0.25">
      <c r="A1618" s="5" t="s">
        <v>146</v>
      </c>
    </row>
    <row r="1619" spans="1:1" x14ac:dyDescent="0.25">
      <c r="A1619" s="5" t="s">
        <v>146</v>
      </c>
    </row>
    <row r="1620" spans="1:1" x14ac:dyDescent="0.25">
      <c r="A1620" s="5" t="s">
        <v>17</v>
      </c>
    </row>
    <row r="1621" spans="1:1" x14ac:dyDescent="0.25">
      <c r="A1621" s="5" t="s">
        <v>17</v>
      </c>
    </row>
    <row r="1622" spans="1:1" x14ac:dyDescent="0.25">
      <c r="A1622" s="5" t="s">
        <v>143</v>
      </c>
    </row>
    <row r="1623" spans="1:1" x14ac:dyDescent="0.25">
      <c r="A1623" s="5" t="s">
        <v>143</v>
      </c>
    </row>
    <row r="1624" spans="1:1" x14ac:dyDescent="0.25">
      <c r="A1624" s="5" t="s">
        <v>143</v>
      </c>
    </row>
    <row r="1625" spans="1:1" x14ac:dyDescent="0.25">
      <c r="A1625" s="5" t="s">
        <v>143</v>
      </c>
    </row>
    <row r="1626" spans="1:1" x14ac:dyDescent="0.25">
      <c r="A1626" s="5" t="s">
        <v>17</v>
      </c>
    </row>
    <row r="1627" spans="1:1" x14ac:dyDescent="0.25">
      <c r="A1627" s="5" t="s">
        <v>181</v>
      </c>
    </row>
    <row r="1628" spans="1:1" x14ac:dyDescent="0.25">
      <c r="A1628" s="5" t="s">
        <v>146</v>
      </c>
    </row>
    <row r="1629" spans="1:1" x14ac:dyDescent="0.25">
      <c r="A1629" s="5" t="s">
        <v>181</v>
      </c>
    </row>
    <row r="1630" spans="1:1" x14ac:dyDescent="0.25">
      <c r="A1630" s="5" t="s">
        <v>182</v>
      </c>
    </row>
    <row r="1631" spans="1:1" x14ac:dyDescent="0.25">
      <c r="A1631" s="5" t="s">
        <v>183</v>
      </c>
    </row>
    <row r="1632" spans="1:1" x14ac:dyDescent="0.25">
      <c r="A1632" s="5" t="s">
        <v>182</v>
      </c>
    </row>
    <row r="1633" spans="1:1" x14ac:dyDescent="0.25">
      <c r="A1633" s="5" t="s">
        <v>183</v>
      </c>
    </row>
    <row r="1634" spans="1:1" x14ac:dyDescent="0.25">
      <c r="A1634" s="5" t="s">
        <v>181</v>
      </c>
    </row>
    <row r="1635" spans="1:1" x14ac:dyDescent="0.25">
      <c r="A1635" s="5" t="s">
        <v>184</v>
      </c>
    </row>
    <row r="1636" spans="1:1" x14ac:dyDescent="0.25">
      <c r="A1636" s="5" t="s">
        <v>174</v>
      </c>
    </row>
    <row r="1637" spans="1:1" x14ac:dyDescent="0.25">
      <c r="A1637" s="5" t="s">
        <v>121</v>
      </c>
    </row>
    <row r="1638" spans="1:1" x14ac:dyDescent="0.25">
      <c r="A1638" s="5" t="s">
        <v>185</v>
      </c>
    </row>
    <row r="1639" spans="1:1" x14ac:dyDescent="0.25">
      <c r="A1639" s="5" t="s">
        <v>121</v>
      </c>
    </row>
    <row r="1640" spans="1:1" x14ac:dyDescent="0.25">
      <c r="A1640" s="5" t="s">
        <v>121</v>
      </c>
    </row>
    <row r="1641" spans="1:1" x14ac:dyDescent="0.25">
      <c r="A1641" s="5" t="s">
        <v>122</v>
      </c>
    </row>
    <row r="1642" spans="1:1" x14ac:dyDescent="0.25">
      <c r="A1642" s="5" t="s">
        <v>74</v>
      </c>
    </row>
    <row r="1643" spans="1:1" x14ac:dyDescent="0.25">
      <c r="A1643" s="5" t="s">
        <v>74</v>
      </c>
    </row>
    <row r="1644" spans="1:1" x14ac:dyDescent="0.25">
      <c r="A1644" s="5" t="s">
        <v>122</v>
      </c>
    </row>
    <row r="1645" spans="1:1" x14ac:dyDescent="0.25">
      <c r="A1645" s="5" t="s">
        <v>74</v>
      </c>
    </row>
    <row r="1646" spans="1:1" x14ac:dyDescent="0.25">
      <c r="A1646" s="5" t="s">
        <v>75</v>
      </c>
    </row>
    <row r="1647" spans="1:1" x14ac:dyDescent="0.25">
      <c r="A1647" s="5" t="s">
        <v>103</v>
      </c>
    </row>
    <row r="1648" spans="1:1" x14ac:dyDescent="0.25">
      <c r="A1648" s="5" t="s">
        <v>75</v>
      </c>
    </row>
    <row r="1649" spans="1:1" x14ac:dyDescent="0.25">
      <c r="A1649" s="5" t="s">
        <v>103</v>
      </c>
    </row>
    <row r="1650" spans="1:1" x14ac:dyDescent="0.25">
      <c r="A1650" s="5" t="s">
        <v>75</v>
      </c>
    </row>
    <row r="1651" spans="1:1" x14ac:dyDescent="0.25">
      <c r="A1651" s="5" t="s">
        <v>104</v>
      </c>
    </row>
    <row r="1652" spans="1:1" x14ac:dyDescent="0.25">
      <c r="A1652" s="5" t="s">
        <v>103</v>
      </c>
    </row>
    <row r="1653" spans="1:1" x14ac:dyDescent="0.25">
      <c r="A1653" s="5" t="s">
        <v>104</v>
      </c>
    </row>
    <row r="1654" spans="1:1" x14ac:dyDescent="0.25">
      <c r="A1654" s="5" t="s">
        <v>104</v>
      </c>
    </row>
    <row r="1655" spans="1:1" x14ac:dyDescent="0.25">
      <c r="A1655" s="5" t="s">
        <v>75</v>
      </c>
    </row>
    <row r="1656" spans="1:1" x14ac:dyDescent="0.25">
      <c r="A1656" s="5" t="s">
        <v>104</v>
      </c>
    </row>
    <row r="1657" spans="1:1" x14ac:dyDescent="0.25">
      <c r="A1657" s="5" t="s">
        <v>95</v>
      </c>
    </row>
    <row r="1658" spans="1:1" x14ac:dyDescent="0.25">
      <c r="A1658" s="5" t="s">
        <v>104</v>
      </c>
    </row>
    <row r="1659" spans="1:1" x14ac:dyDescent="0.25">
      <c r="A1659" s="5" t="s">
        <v>95</v>
      </c>
    </row>
    <row r="1660" spans="1:1" x14ac:dyDescent="0.25">
      <c r="A1660" s="5" t="s">
        <v>95</v>
      </c>
    </row>
    <row r="1661" spans="1:1" x14ac:dyDescent="0.25">
      <c r="A1661" s="5" t="s">
        <v>186</v>
      </c>
    </row>
    <row r="1662" spans="1:1" x14ac:dyDescent="0.25">
      <c r="A1662" s="5" t="s">
        <v>96</v>
      </c>
    </row>
    <row r="1663" spans="1:1" x14ac:dyDescent="0.25">
      <c r="A1663" s="5" t="s">
        <v>70</v>
      </c>
    </row>
    <row r="1664" spans="1:1" x14ac:dyDescent="0.25">
      <c r="A1664" s="5" t="s">
        <v>96</v>
      </c>
    </row>
    <row r="1665" spans="1:1" x14ac:dyDescent="0.25">
      <c r="A1665" s="5" t="s">
        <v>129</v>
      </c>
    </row>
    <row r="1666" spans="1:1" x14ac:dyDescent="0.25">
      <c r="A1666" s="5" t="s">
        <v>96</v>
      </c>
    </row>
    <row r="1667" spans="1:1" x14ac:dyDescent="0.25">
      <c r="A1667" s="5" t="s">
        <v>70</v>
      </c>
    </row>
    <row r="1668" spans="1:1" x14ac:dyDescent="0.25">
      <c r="A1668" s="5" t="s">
        <v>186</v>
      </c>
    </row>
    <row r="1669" spans="1:1" x14ac:dyDescent="0.25">
      <c r="A1669" s="5" t="s">
        <v>70</v>
      </c>
    </row>
    <row r="1670" spans="1:1" x14ac:dyDescent="0.25">
      <c r="A1670" s="5" t="s">
        <v>89</v>
      </c>
    </row>
    <row r="1671" spans="1:1" x14ac:dyDescent="0.25">
      <c r="A1671" s="5" t="s">
        <v>186</v>
      </c>
    </row>
    <row r="1672" spans="1:1" x14ac:dyDescent="0.25">
      <c r="A1672" s="5" t="s">
        <v>70</v>
      </c>
    </row>
    <row r="1673" spans="1:1" x14ac:dyDescent="0.25">
      <c r="A1673" s="5" t="s">
        <v>165</v>
      </c>
    </row>
    <row r="1674" spans="1:1" x14ac:dyDescent="0.25">
      <c r="A1674" s="5" t="s">
        <v>131</v>
      </c>
    </row>
    <row r="1675" spans="1:1" x14ac:dyDescent="0.25">
      <c r="A1675" s="5" t="s">
        <v>165</v>
      </c>
    </row>
    <row r="1676" spans="1:1" x14ac:dyDescent="0.25">
      <c r="A1676" s="5" t="s">
        <v>131</v>
      </c>
    </row>
    <row r="1677" spans="1:1" x14ac:dyDescent="0.25">
      <c r="A1677" s="5" t="s">
        <v>164</v>
      </c>
    </row>
    <row r="1678" spans="1:1" x14ac:dyDescent="0.25">
      <c r="A1678" s="5" t="s">
        <v>165</v>
      </c>
    </row>
    <row r="1679" spans="1:1" x14ac:dyDescent="0.25">
      <c r="A1679" s="5" t="s">
        <v>179</v>
      </c>
    </row>
    <row r="1680" spans="1:1" x14ac:dyDescent="0.25">
      <c r="A1680" s="5" t="s">
        <v>129</v>
      </c>
    </row>
    <row r="1681" spans="1:1" x14ac:dyDescent="0.25">
      <c r="A1681" s="5" t="s">
        <v>131</v>
      </c>
    </row>
    <row r="1682" spans="1:1" x14ac:dyDescent="0.25">
      <c r="A1682" s="5" t="s">
        <v>164</v>
      </c>
    </row>
    <row r="1683" spans="1:1" x14ac:dyDescent="0.25">
      <c r="A1683" s="5" t="s">
        <v>165</v>
      </c>
    </row>
    <row r="1684" spans="1:1" x14ac:dyDescent="0.25">
      <c r="A1684" s="5" t="s">
        <v>164</v>
      </c>
    </row>
    <row r="1685" spans="1:1" x14ac:dyDescent="0.25">
      <c r="A1685" s="5" t="s">
        <v>165</v>
      </c>
    </row>
    <row r="1686" spans="1:1" x14ac:dyDescent="0.25">
      <c r="A1686" s="5" t="s">
        <v>165</v>
      </c>
    </row>
    <row r="1687" spans="1:1" x14ac:dyDescent="0.25">
      <c r="A1687" s="5" t="s">
        <v>131</v>
      </c>
    </row>
    <row r="1688" spans="1:1" x14ac:dyDescent="0.25">
      <c r="A1688" s="5" t="s">
        <v>165</v>
      </c>
    </row>
    <row r="1689" spans="1:1" x14ac:dyDescent="0.25">
      <c r="A1689" s="5" t="s">
        <v>17</v>
      </c>
    </row>
    <row r="1690" spans="1:1" x14ac:dyDescent="0.25">
      <c r="A1690" s="5" t="s">
        <v>17</v>
      </c>
    </row>
    <row r="1691" spans="1:1" x14ac:dyDescent="0.25">
      <c r="A1691" s="5" t="s">
        <v>74</v>
      </c>
    </row>
    <row r="1692" spans="1:1" x14ac:dyDescent="0.25">
      <c r="A1692" s="5" t="s">
        <v>164</v>
      </c>
    </row>
    <row r="1693" spans="1:1" x14ac:dyDescent="0.25">
      <c r="A1693" s="5" t="s">
        <v>74</v>
      </c>
    </row>
    <row r="1694" spans="1:1" x14ac:dyDescent="0.25">
      <c r="A1694" s="5" t="s">
        <v>74</v>
      </c>
    </row>
    <row r="1695" spans="1:1" x14ac:dyDescent="0.25">
      <c r="A1695" s="5" t="s">
        <v>121</v>
      </c>
    </row>
    <row r="1696" spans="1:1" x14ac:dyDescent="0.25">
      <c r="A1696" s="5" t="s">
        <v>75</v>
      </c>
    </row>
    <row r="1697" spans="1:1" x14ac:dyDescent="0.25">
      <c r="A1697" s="5" t="s">
        <v>121</v>
      </c>
    </row>
    <row r="1698" spans="1:1" x14ac:dyDescent="0.25">
      <c r="A1698" s="5" t="s">
        <v>74</v>
      </c>
    </row>
    <row r="1699" spans="1:1" x14ac:dyDescent="0.25">
      <c r="A1699" s="5" t="s">
        <v>164</v>
      </c>
    </row>
    <row r="1700" spans="1:1" x14ac:dyDescent="0.25">
      <c r="A1700" s="5" t="s">
        <v>74</v>
      </c>
    </row>
    <row r="1701" spans="1:1" x14ac:dyDescent="0.25">
      <c r="A1701" s="5" t="s">
        <v>75</v>
      </c>
    </row>
    <row r="1702" spans="1:1" x14ac:dyDescent="0.25">
      <c r="A1702" s="5" t="s">
        <v>122</v>
      </c>
    </row>
    <row r="1703" spans="1:1" x14ac:dyDescent="0.25">
      <c r="A1703" s="5" t="s">
        <v>120</v>
      </c>
    </row>
    <row r="1704" spans="1:1" x14ac:dyDescent="0.25">
      <c r="A1704" s="5" t="s">
        <v>75</v>
      </c>
    </row>
    <row r="1705" spans="1:1" x14ac:dyDescent="0.25">
      <c r="A1705" s="5" t="s">
        <v>122</v>
      </c>
    </row>
    <row r="1706" spans="1:1" x14ac:dyDescent="0.25">
      <c r="A1706" s="5" t="s">
        <v>174</v>
      </c>
    </row>
    <row r="1707" spans="1:1" x14ac:dyDescent="0.25">
      <c r="A1707" s="5" t="s">
        <v>122</v>
      </c>
    </row>
    <row r="1708" spans="1:1" x14ac:dyDescent="0.25">
      <c r="A1708" s="5" t="s">
        <v>75</v>
      </c>
    </row>
    <row r="1709" spans="1:1" x14ac:dyDescent="0.25">
      <c r="A1709" s="5" t="s">
        <v>75</v>
      </c>
    </row>
    <row r="1710" spans="1:1" x14ac:dyDescent="0.25">
      <c r="A1710" s="5" t="s">
        <v>120</v>
      </c>
    </row>
    <row r="1711" spans="1:1" x14ac:dyDescent="0.25">
      <c r="A1711" s="5" t="s">
        <v>120</v>
      </c>
    </row>
    <row r="1712" spans="1:1" x14ac:dyDescent="0.25">
      <c r="A1712" s="5" t="s">
        <v>100</v>
      </c>
    </row>
    <row r="1713" spans="1:1" x14ac:dyDescent="0.25">
      <c r="A1713" s="5" t="s">
        <v>100</v>
      </c>
    </row>
    <row r="1714" spans="1:1" x14ac:dyDescent="0.25">
      <c r="A1714" s="5" t="s">
        <v>100</v>
      </c>
    </row>
    <row r="1715" spans="1:1" x14ac:dyDescent="0.25">
      <c r="A1715" s="5" t="s">
        <v>100</v>
      </c>
    </row>
    <row r="1716" spans="1:1" x14ac:dyDescent="0.25">
      <c r="A1716" s="5" t="s">
        <v>174</v>
      </c>
    </row>
    <row r="1717" spans="1:1" x14ac:dyDescent="0.25">
      <c r="A1717" s="5" t="s">
        <v>174</v>
      </c>
    </row>
    <row r="1718" spans="1:1" x14ac:dyDescent="0.25">
      <c r="A1718" s="5" t="s">
        <v>174</v>
      </c>
    </row>
    <row r="1719" spans="1:1" x14ac:dyDescent="0.25">
      <c r="A1719" s="5" t="s">
        <v>174</v>
      </c>
    </row>
    <row r="1720" spans="1:1" x14ac:dyDescent="0.25">
      <c r="A1720" s="5" t="s">
        <v>174</v>
      </c>
    </row>
    <row r="1721" spans="1:1" x14ac:dyDescent="0.25">
      <c r="A1721" s="5" t="s">
        <v>70</v>
      </c>
    </row>
    <row r="1722" spans="1:1" x14ac:dyDescent="0.25">
      <c r="A1722" s="5" t="s">
        <v>174</v>
      </c>
    </row>
    <row r="1723" spans="1:1" x14ac:dyDescent="0.25">
      <c r="A1723" s="5" t="s">
        <v>95</v>
      </c>
    </row>
    <row r="1724" spans="1:1" x14ac:dyDescent="0.25">
      <c r="A1724" s="5" t="s">
        <v>96</v>
      </c>
    </row>
    <row r="1725" spans="1:1" x14ac:dyDescent="0.25">
      <c r="A1725" s="5" t="s">
        <v>17</v>
      </c>
    </row>
    <row r="1726" spans="1:1" x14ac:dyDescent="0.25">
      <c r="A1726" s="5" t="s">
        <v>162</v>
      </c>
    </row>
    <row r="1727" spans="1:1" x14ac:dyDescent="0.25">
      <c r="A1727" s="5" t="s">
        <v>163</v>
      </c>
    </row>
    <row r="1728" spans="1:1" x14ac:dyDescent="0.25">
      <c r="A1728" s="5" t="s">
        <v>71</v>
      </c>
    </row>
    <row r="1729" spans="1:1" x14ac:dyDescent="0.25">
      <c r="A1729" s="5" t="s">
        <v>72</v>
      </c>
    </row>
    <row r="1730" spans="1:1" x14ac:dyDescent="0.25">
      <c r="A1730" s="5" t="s">
        <v>174</v>
      </c>
    </row>
    <row r="1731" spans="1:1" x14ac:dyDescent="0.25">
      <c r="A1731" s="5" t="s">
        <v>174</v>
      </c>
    </row>
    <row r="1732" spans="1:1" x14ac:dyDescent="0.25">
      <c r="A1732" s="5" t="s">
        <v>17</v>
      </c>
    </row>
    <row r="1733" spans="1:1" x14ac:dyDescent="0.25">
      <c r="A1733" s="5" t="s">
        <v>174</v>
      </c>
    </row>
    <row r="1734" spans="1:1" x14ac:dyDescent="0.25">
      <c r="A1734" s="5" t="s">
        <v>161</v>
      </c>
    </row>
    <row r="1735" spans="1:1" x14ac:dyDescent="0.25">
      <c r="A1735" s="5" t="s">
        <v>17</v>
      </c>
    </row>
    <row r="1736" spans="1:1" x14ac:dyDescent="0.25">
      <c r="A1736" s="5" t="s">
        <v>187</v>
      </c>
    </row>
    <row r="1737" spans="1:1" x14ac:dyDescent="0.25">
      <c r="A1737" s="5" t="s">
        <v>88</v>
      </c>
    </row>
    <row r="1738" spans="1:1" x14ac:dyDescent="0.25">
      <c r="A1738" s="5" t="s">
        <v>89</v>
      </c>
    </row>
    <row r="1739" spans="1:1" x14ac:dyDescent="0.25">
      <c r="A1739" s="5" t="s">
        <v>179</v>
      </c>
    </row>
    <row r="1740" spans="1:1" x14ac:dyDescent="0.25">
      <c r="A1740" s="5" t="s">
        <v>17</v>
      </c>
    </row>
    <row r="1741" spans="1:1" x14ac:dyDescent="0.25">
      <c r="A1741" s="5" t="s">
        <v>158</v>
      </c>
    </row>
    <row r="1742" spans="1:1" x14ac:dyDescent="0.25">
      <c r="A1742" s="5" t="s">
        <v>159</v>
      </c>
    </row>
    <row r="1743" spans="1:1" x14ac:dyDescent="0.25">
      <c r="A1743" s="5" t="s">
        <v>17</v>
      </c>
    </row>
    <row r="1744" spans="1:1" x14ac:dyDescent="0.25">
      <c r="A1744" s="5" t="s">
        <v>74</v>
      </c>
    </row>
    <row r="1745" spans="1:1" x14ac:dyDescent="0.25">
      <c r="A1745" s="5" t="s">
        <v>75</v>
      </c>
    </row>
    <row r="1746" spans="1:1" x14ac:dyDescent="0.25">
      <c r="A1746" s="5" t="s">
        <v>95</v>
      </c>
    </row>
    <row r="1747" spans="1:1" x14ac:dyDescent="0.25">
      <c r="A1747" s="5" t="s">
        <v>96</v>
      </c>
    </row>
    <row r="1748" spans="1:1" x14ac:dyDescent="0.25">
      <c r="A1748" s="5" t="s">
        <v>165</v>
      </c>
    </row>
    <row r="1749" spans="1:1" x14ac:dyDescent="0.25">
      <c r="A1749" s="5" t="s">
        <v>174</v>
      </c>
    </row>
    <row r="1750" spans="1:1" x14ac:dyDescent="0.25">
      <c r="A1750" s="5" t="s">
        <v>188</v>
      </c>
    </row>
    <row r="1751" spans="1:1" x14ac:dyDescent="0.25">
      <c r="A1751" s="5" t="s">
        <v>189</v>
      </c>
    </row>
    <row r="1752" spans="1:1" x14ac:dyDescent="0.25">
      <c r="A1752" s="5" t="s">
        <v>17</v>
      </c>
    </row>
    <row r="1753" spans="1:1" x14ac:dyDescent="0.25">
      <c r="A1753" s="5" t="s">
        <v>88</v>
      </c>
    </row>
    <row r="1754" spans="1:1" x14ac:dyDescent="0.25">
      <c r="A1754" s="5" t="s">
        <v>89</v>
      </c>
    </row>
    <row r="1755" spans="1:1" x14ac:dyDescent="0.25">
      <c r="A1755" s="5" t="s">
        <v>179</v>
      </c>
    </row>
    <row r="1756" spans="1:1" x14ac:dyDescent="0.25">
      <c r="A1756" s="5" t="s">
        <v>17</v>
      </c>
    </row>
    <row r="1757" spans="1:1" x14ac:dyDescent="0.25">
      <c r="A1757" s="5" t="s">
        <v>140</v>
      </c>
    </row>
    <row r="1758" spans="1:1" x14ac:dyDescent="0.25">
      <c r="A1758" s="5" t="s">
        <v>141</v>
      </c>
    </row>
    <row r="1759" spans="1:1" x14ac:dyDescent="0.25">
      <c r="A1759" s="5" t="s">
        <v>17</v>
      </c>
    </row>
    <row r="1760" spans="1:1" x14ac:dyDescent="0.25">
      <c r="A1760" s="5" t="s">
        <v>74</v>
      </c>
    </row>
    <row r="1761" spans="1:1" x14ac:dyDescent="0.25">
      <c r="A1761" s="5" t="s">
        <v>75</v>
      </c>
    </row>
    <row r="1762" spans="1:1" x14ac:dyDescent="0.25">
      <c r="A1762" s="5" t="s">
        <v>17</v>
      </c>
    </row>
    <row r="1763" spans="1:1" x14ac:dyDescent="0.25">
      <c r="A1763" s="5" t="s">
        <v>17</v>
      </c>
    </row>
    <row r="1764" spans="1:1" x14ac:dyDescent="0.25">
      <c r="A1764" s="5" t="s">
        <v>143</v>
      </c>
    </row>
    <row r="1765" spans="1:1" x14ac:dyDescent="0.25">
      <c r="A1765" s="5" t="s">
        <v>17</v>
      </c>
    </row>
    <row r="1766" spans="1:1" x14ac:dyDescent="0.25">
      <c r="A1766" s="5" t="s">
        <v>17</v>
      </c>
    </row>
    <row r="1767" spans="1:1" x14ac:dyDescent="0.25">
      <c r="A1767" s="5" t="s">
        <v>17</v>
      </c>
    </row>
    <row r="1768" spans="1:1" x14ac:dyDescent="0.25">
      <c r="A1768" s="5" t="s">
        <v>178</v>
      </c>
    </row>
    <row r="1769" spans="1:1" x14ac:dyDescent="0.25">
      <c r="A1769" s="5" t="s">
        <v>190</v>
      </c>
    </row>
    <row r="1770" spans="1:1" x14ac:dyDescent="0.25">
      <c r="A1770" s="5" t="s">
        <v>17</v>
      </c>
    </row>
    <row r="1771" spans="1:1" x14ac:dyDescent="0.25">
      <c r="A1771" s="5" t="s">
        <v>143</v>
      </c>
    </row>
    <row r="1772" spans="1:1" x14ac:dyDescent="0.25">
      <c r="A1772" s="5" t="s">
        <v>71</v>
      </c>
    </row>
    <row r="1773" spans="1:1" x14ac:dyDescent="0.25">
      <c r="A1773" s="5" t="s">
        <v>72</v>
      </c>
    </row>
    <row r="1774" spans="1:1" x14ac:dyDescent="0.25">
      <c r="A1774" s="5" t="s">
        <v>191</v>
      </c>
    </row>
    <row r="1775" spans="1:1" x14ac:dyDescent="0.25">
      <c r="A1775" s="5" t="s">
        <v>174</v>
      </c>
    </row>
    <row r="1776" spans="1:1" x14ac:dyDescent="0.25">
      <c r="A1776" s="5" t="s">
        <v>17</v>
      </c>
    </row>
    <row r="1777" spans="1:1" x14ac:dyDescent="0.25">
      <c r="A1777" s="5" t="s">
        <v>17</v>
      </c>
    </row>
    <row r="1778" spans="1:1" x14ac:dyDescent="0.25">
      <c r="A1778" s="5" t="s">
        <v>74</v>
      </c>
    </row>
    <row r="1779" spans="1:1" x14ac:dyDescent="0.25">
      <c r="A1779" s="5" t="s">
        <v>75</v>
      </c>
    </row>
    <row r="1780" spans="1:1" x14ac:dyDescent="0.25">
      <c r="A1780" s="5" t="s">
        <v>17</v>
      </c>
    </row>
    <row r="1781" spans="1:1" x14ac:dyDescent="0.25">
      <c r="A1781" s="5" t="s">
        <v>17</v>
      </c>
    </row>
    <row r="1782" spans="1:1" x14ac:dyDescent="0.25">
      <c r="A1782" s="5" t="s">
        <v>71</v>
      </c>
    </row>
    <row r="1783" spans="1:1" x14ac:dyDescent="0.25">
      <c r="A1783" s="5" t="s">
        <v>72</v>
      </c>
    </row>
    <row r="1784" spans="1:1" x14ac:dyDescent="0.25">
      <c r="A1784" s="5" t="s">
        <v>89</v>
      </c>
    </row>
    <row r="1785" spans="1:1" x14ac:dyDescent="0.25">
      <c r="A1785" s="5" t="s">
        <v>174</v>
      </c>
    </row>
    <row r="1786" spans="1:1" x14ac:dyDescent="0.25">
      <c r="A1786" s="5" t="s">
        <v>17</v>
      </c>
    </row>
    <row r="1787" spans="1:1" x14ac:dyDescent="0.25">
      <c r="A1787" s="5" t="s">
        <v>192</v>
      </c>
    </row>
    <row r="1788" spans="1:1" x14ac:dyDescent="0.25">
      <c r="A1788" s="5" t="s">
        <v>193</v>
      </c>
    </row>
    <row r="1789" spans="1:1" x14ac:dyDescent="0.25">
      <c r="A1789" s="5" t="s">
        <v>174</v>
      </c>
    </row>
    <row r="1790" spans="1:1" x14ac:dyDescent="0.25">
      <c r="A1790" s="5" t="s">
        <v>17</v>
      </c>
    </row>
    <row r="1791" spans="1:1" x14ac:dyDescent="0.25">
      <c r="A1791" s="5" t="s">
        <v>194</v>
      </c>
    </row>
    <row r="1792" spans="1:1" x14ac:dyDescent="0.25">
      <c r="A1792" s="5" t="s">
        <v>174</v>
      </c>
    </row>
    <row r="1793" spans="1:1" x14ac:dyDescent="0.25">
      <c r="A1793" s="5" t="s">
        <v>174</v>
      </c>
    </row>
    <row r="1794" spans="1:1" x14ac:dyDescent="0.25">
      <c r="A1794" s="5" t="s">
        <v>17</v>
      </c>
    </row>
    <row r="1795" spans="1:1" x14ac:dyDescent="0.25">
      <c r="A1795" s="5" t="s">
        <v>174</v>
      </c>
    </row>
    <row r="1796" spans="1:1" x14ac:dyDescent="0.25">
      <c r="A1796" s="5" t="s">
        <v>195</v>
      </c>
    </row>
    <row r="1797" spans="1:1" x14ac:dyDescent="0.25">
      <c r="A1797" s="5" t="s">
        <v>174</v>
      </c>
    </row>
    <row r="1798" spans="1:1" x14ac:dyDescent="0.25">
      <c r="A1798" s="5" t="s">
        <v>17</v>
      </c>
    </row>
    <row r="1799" spans="1:1" x14ac:dyDescent="0.25">
      <c r="A1799" s="5" t="s">
        <v>186</v>
      </c>
    </row>
    <row r="1800" spans="1:1" x14ac:dyDescent="0.25">
      <c r="A1800" s="5" t="s">
        <v>173</v>
      </c>
    </row>
    <row r="1801" spans="1:1" x14ac:dyDescent="0.25">
      <c r="A1801" s="5" t="s">
        <v>148</v>
      </c>
    </row>
    <row r="1802" spans="1:1" x14ac:dyDescent="0.25">
      <c r="A1802" s="5" t="s">
        <v>88</v>
      </c>
    </row>
    <row r="1803" spans="1:1" x14ac:dyDescent="0.25">
      <c r="A1803" s="5" t="s">
        <v>17</v>
      </c>
    </row>
    <row r="1804" spans="1:1" x14ac:dyDescent="0.25">
      <c r="A1804" s="5" t="s">
        <v>174</v>
      </c>
    </row>
    <row r="1805" spans="1:1" x14ac:dyDescent="0.25">
      <c r="A1805" s="5" t="s">
        <v>17</v>
      </c>
    </row>
    <row r="1806" spans="1:1" x14ac:dyDescent="0.25">
      <c r="A1806" s="5" t="s">
        <v>17</v>
      </c>
    </row>
    <row r="1807" spans="1:1" x14ac:dyDescent="0.25">
      <c r="A1807" s="5" t="s">
        <v>17</v>
      </c>
    </row>
    <row r="1808" spans="1:1" x14ac:dyDescent="0.25">
      <c r="A1808" s="5" t="s">
        <v>70</v>
      </c>
    </row>
    <row r="1809" spans="1:1" x14ac:dyDescent="0.25">
      <c r="A1809" s="5" t="s">
        <v>17</v>
      </c>
    </row>
    <row r="1810" spans="1:1" x14ac:dyDescent="0.25">
      <c r="A1810" s="5" t="s">
        <v>17</v>
      </c>
    </row>
    <row r="1811" spans="1:1" x14ac:dyDescent="0.25">
      <c r="A1811" s="5" t="s">
        <v>138</v>
      </c>
    </row>
    <row r="1812" spans="1:1" x14ac:dyDescent="0.25">
      <c r="A1812" s="5" t="s">
        <v>17</v>
      </c>
    </row>
    <row r="1813" spans="1:1" x14ac:dyDescent="0.25">
      <c r="A1813" s="5" t="s">
        <v>186</v>
      </c>
    </row>
    <row r="1814" spans="1:1" x14ac:dyDescent="0.25">
      <c r="A1814" s="5" t="s">
        <v>123</v>
      </c>
    </row>
    <row r="1815" spans="1:1" x14ac:dyDescent="0.25">
      <c r="A1815" s="5" t="s">
        <v>123</v>
      </c>
    </row>
    <row r="1816" spans="1:1" x14ac:dyDescent="0.25">
      <c r="A1816" s="5" t="s">
        <v>143</v>
      </c>
    </row>
    <row r="1817" spans="1:1" x14ac:dyDescent="0.25">
      <c r="A1817" s="5" t="s">
        <v>127</v>
      </c>
    </row>
    <row r="1818" spans="1:1" x14ac:dyDescent="0.25">
      <c r="A1818" s="5" t="s">
        <v>128</v>
      </c>
    </row>
    <row r="1819" spans="1:1" x14ac:dyDescent="0.25">
      <c r="A1819" s="5" t="s">
        <v>195</v>
      </c>
    </row>
    <row r="1820" spans="1:1" x14ac:dyDescent="0.25">
      <c r="A1820" s="5" t="s">
        <v>174</v>
      </c>
    </row>
    <row r="1821" spans="1:1" x14ac:dyDescent="0.25">
      <c r="A1821" s="5" t="s">
        <v>123</v>
      </c>
    </row>
    <row r="1822" spans="1:1" x14ac:dyDescent="0.25">
      <c r="A1822" s="5" t="s">
        <v>123</v>
      </c>
    </row>
    <row r="1823" spans="1:1" x14ac:dyDescent="0.25">
      <c r="A1823" s="5" t="s">
        <v>17</v>
      </c>
    </row>
    <row r="1824" spans="1:1" x14ac:dyDescent="0.25">
      <c r="A1824" s="5" t="s">
        <v>147</v>
      </c>
    </row>
    <row r="1825" spans="1:1" x14ac:dyDescent="0.25">
      <c r="A1825" s="5" t="s">
        <v>147</v>
      </c>
    </row>
    <row r="1826" spans="1:1" x14ac:dyDescent="0.25">
      <c r="A1826" s="5" t="s">
        <v>147</v>
      </c>
    </row>
    <row r="1827" spans="1:1" x14ac:dyDescent="0.25">
      <c r="A1827" s="5" t="s">
        <v>17</v>
      </c>
    </row>
    <row r="1828" spans="1:1" x14ac:dyDescent="0.25">
      <c r="A1828" s="5" t="s">
        <v>147</v>
      </c>
    </row>
    <row r="1829" spans="1:1" x14ac:dyDescent="0.25">
      <c r="A1829" s="5" t="s">
        <v>17</v>
      </c>
    </row>
    <row r="1830" spans="1:1" x14ac:dyDescent="0.25">
      <c r="A1830" s="5" t="s">
        <v>71</v>
      </c>
    </row>
    <row r="1831" spans="1:1" x14ac:dyDescent="0.25">
      <c r="A1831" s="5" t="s">
        <v>72</v>
      </c>
    </row>
    <row r="1832" spans="1:1" x14ac:dyDescent="0.25">
      <c r="A1832" s="5" t="s">
        <v>164</v>
      </c>
    </row>
    <row r="1833" spans="1:1" x14ac:dyDescent="0.25">
      <c r="A1833" s="5" t="s">
        <v>164</v>
      </c>
    </row>
    <row r="1834" spans="1:1" x14ac:dyDescent="0.25">
      <c r="A1834" s="5" t="s">
        <v>88</v>
      </c>
    </row>
    <row r="1835" spans="1:1" x14ac:dyDescent="0.25">
      <c r="A1835" s="5" t="s">
        <v>17</v>
      </c>
    </row>
    <row r="1836" spans="1:1" x14ac:dyDescent="0.25">
      <c r="A1836" s="5" t="s">
        <v>89</v>
      </c>
    </row>
    <row r="1837" spans="1:1" x14ac:dyDescent="0.25">
      <c r="A1837" s="5" t="s">
        <v>179</v>
      </c>
    </row>
    <row r="1838" spans="1:1" x14ac:dyDescent="0.25">
      <c r="A1838" s="5" t="s">
        <v>196</v>
      </c>
    </row>
    <row r="1839" spans="1:1" x14ac:dyDescent="0.25">
      <c r="A1839" s="5" t="s">
        <v>197</v>
      </c>
    </row>
    <row r="1840" spans="1:1" x14ac:dyDescent="0.25">
      <c r="A1840" s="5" t="s">
        <v>196</v>
      </c>
    </row>
    <row r="1841" spans="1:1" x14ac:dyDescent="0.25">
      <c r="A1841" s="5" t="s">
        <v>197</v>
      </c>
    </row>
    <row r="1842" spans="1:1" x14ac:dyDescent="0.25">
      <c r="A1842" s="5" t="s">
        <v>196</v>
      </c>
    </row>
    <row r="1843" spans="1:1" x14ac:dyDescent="0.25">
      <c r="A1843" s="5" t="s">
        <v>147</v>
      </c>
    </row>
    <row r="1844" spans="1:1" x14ac:dyDescent="0.25">
      <c r="A1844" s="5" t="s">
        <v>166</v>
      </c>
    </row>
    <row r="1845" spans="1:1" x14ac:dyDescent="0.25">
      <c r="A1845" s="5" t="s">
        <v>167</v>
      </c>
    </row>
    <row r="1846" spans="1:1" x14ac:dyDescent="0.25">
      <c r="A1846" s="5" t="s">
        <v>17</v>
      </c>
    </row>
    <row r="1847" spans="1:1" x14ac:dyDescent="0.25">
      <c r="A1847" s="5" t="s">
        <v>71</v>
      </c>
    </row>
    <row r="1848" spans="1:1" x14ac:dyDescent="0.25">
      <c r="A1848" s="5" t="s">
        <v>72</v>
      </c>
    </row>
    <row r="1849" spans="1:1" x14ac:dyDescent="0.25">
      <c r="A1849" s="5" t="s">
        <v>198</v>
      </c>
    </row>
    <row r="1850" spans="1:1" x14ac:dyDescent="0.25">
      <c r="A1850" s="5" t="s">
        <v>88</v>
      </c>
    </row>
    <row r="1851" spans="1:1" x14ac:dyDescent="0.25">
      <c r="A1851" s="5" t="s">
        <v>89</v>
      </c>
    </row>
    <row r="1852" spans="1:1" x14ac:dyDescent="0.25">
      <c r="A1852" s="5" t="s">
        <v>179</v>
      </c>
    </row>
    <row r="1853" spans="1:1" x14ac:dyDescent="0.25">
      <c r="A1853" s="5" t="s">
        <v>95</v>
      </c>
    </row>
    <row r="1854" spans="1:1" x14ac:dyDescent="0.25">
      <c r="A1854" s="5" t="s">
        <v>96</v>
      </c>
    </row>
    <row r="1855" spans="1:1" x14ac:dyDescent="0.25">
      <c r="A1855" s="5" t="s">
        <v>17</v>
      </c>
    </row>
    <row r="1856" spans="1:1" x14ac:dyDescent="0.25">
      <c r="A1856" s="5" t="s">
        <v>17</v>
      </c>
    </row>
    <row r="1857" spans="1:1" x14ac:dyDescent="0.25">
      <c r="A1857" s="5" t="s">
        <v>17</v>
      </c>
    </row>
    <row r="1858" spans="1:1" x14ac:dyDescent="0.25">
      <c r="A1858" s="5" t="s">
        <v>17</v>
      </c>
    </row>
    <row r="1859" spans="1:1" x14ac:dyDescent="0.25">
      <c r="A1859" s="5" t="s">
        <v>71</v>
      </c>
    </row>
    <row r="1860" spans="1:1" x14ac:dyDescent="0.25">
      <c r="A1860" s="5" t="s">
        <v>72</v>
      </c>
    </row>
    <row r="1861" spans="1:1" x14ac:dyDescent="0.25">
      <c r="A1861" s="5" t="s">
        <v>17</v>
      </c>
    </row>
    <row r="1862" spans="1:1" x14ac:dyDescent="0.25">
      <c r="A1862" s="5" t="s">
        <v>149</v>
      </c>
    </row>
    <row r="1863" spans="1:1" x14ac:dyDescent="0.25">
      <c r="A1863" s="5" t="s">
        <v>149</v>
      </c>
    </row>
    <row r="1864" spans="1:1" x14ac:dyDescent="0.25">
      <c r="A1864" s="5" t="s">
        <v>143</v>
      </c>
    </row>
    <row r="1865" spans="1:1" x14ac:dyDescent="0.25">
      <c r="A1865" s="5" t="s">
        <v>149</v>
      </c>
    </row>
    <row r="1866" spans="1:1" x14ac:dyDescent="0.25">
      <c r="A1866" s="5" t="s">
        <v>17</v>
      </c>
    </row>
    <row r="1867" spans="1:1" x14ac:dyDescent="0.25">
      <c r="A1867" s="5" t="s">
        <v>199</v>
      </c>
    </row>
    <row r="1868" spans="1:1" x14ac:dyDescent="0.25">
      <c r="A1868" s="5" t="s">
        <v>174</v>
      </c>
    </row>
    <row r="1869" spans="1:1" x14ac:dyDescent="0.25">
      <c r="A1869" s="5" t="s">
        <v>200</v>
      </c>
    </row>
    <row r="1870" spans="1:1" x14ac:dyDescent="0.25">
      <c r="A1870" s="5" t="s">
        <v>201</v>
      </c>
    </row>
    <row r="1871" spans="1:1" x14ac:dyDescent="0.25">
      <c r="A1871" s="5" t="s">
        <v>88</v>
      </c>
    </row>
    <row r="1872" spans="1:1" x14ac:dyDescent="0.25">
      <c r="A1872" s="5" t="s">
        <v>89</v>
      </c>
    </row>
    <row r="1873" spans="1:1" x14ac:dyDescent="0.25">
      <c r="A1873" s="5" t="s">
        <v>202</v>
      </c>
    </row>
    <row r="1874" spans="1:1" x14ac:dyDescent="0.25">
      <c r="A1874" s="5" t="s">
        <v>179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6"/>
  <sheetViews>
    <sheetView workbookViewId="0">
      <selection activeCell="B7" sqref="B7"/>
    </sheetView>
  </sheetViews>
  <sheetFormatPr baseColWidth="10" defaultRowHeight="15" x14ac:dyDescent="0.25"/>
  <cols>
    <col min="1" max="1" width="20.5703125" bestFit="1" customWidth="1"/>
    <col min="2" max="2" width="12.28515625" bestFit="1" customWidth="1"/>
  </cols>
  <sheetData>
    <row r="1" spans="1:2" x14ac:dyDescent="0.25">
      <c r="A1" s="1" t="s">
        <v>1</v>
      </c>
    </row>
    <row r="3" spans="1:2" x14ac:dyDescent="0.25">
      <c r="A3" s="4" t="s">
        <v>0</v>
      </c>
      <c r="B3" s="4" t="s">
        <v>2</v>
      </c>
    </row>
    <row r="4" spans="1:2" x14ac:dyDescent="0.25">
      <c r="A4" s="2" t="s">
        <v>12</v>
      </c>
      <c r="B4" s="3">
        <v>0.99152696065985202</v>
      </c>
    </row>
    <row r="5" spans="1:2" x14ac:dyDescent="0.25">
      <c r="A5" s="2" t="s">
        <v>11</v>
      </c>
      <c r="B5" s="3">
        <v>2.1690400365617399E-3</v>
      </c>
    </row>
    <row r="6" spans="1:2" x14ac:dyDescent="0.25">
      <c r="A6" s="2" t="s">
        <v>3</v>
      </c>
      <c r="B6" s="3">
        <v>6.3039993035858E-3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workbookViewId="0">
      <selection activeCell="D9" sqref="D9"/>
    </sheetView>
  </sheetViews>
  <sheetFormatPr baseColWidth="10" defaultRowHeight="15" x14ac:dyDescent="0.25"/>
  <cols>
    <col min="1" max="1" width="20.5703125" bestFit="1" customWidth="1"/>
    <col min="2" max="2" width="12.28515625" bestFit="1" customWidth="1"/>
  </cols>
  <sheetData>
    <row r="1" spans="1:2" x14ac:dyDescent="0.25">
      <c r="A1" s="1" t="s">
        <v>4</v>
      </c>
    </row>
    <row r="3" spans="1:2" x14ac:dyDescent="0.25">
      <c r="A3" s="4" t="s">
        <v>0</v>
      </c>
      <c r="B3" s="4" t="s">
        <v>2</v>
      </c>
    </row>
    <row r="4" spans="1:2" x14ac:dyDescent="0.25">
      <c r="A4" s="2"/>
      <c r="B4" s="3"/>
    </row>
    <row r="5" spans="1:2" x14ac:dyDescent="0.25">
      <c r="A5" s="2"/>
      <c r="B5" s="3"/>
    </row>
    <row r="6" spans="1:2" x14ac:dyDescent="0.25">
      <c r="A6" s="2"/>
      <c r="B6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EP437"/>
  <sheetViews>
    <sheetView workbookViewId="0">
      <selection activeCell="B78" sqref="A6:B78"/>
    </sheetView>
  </sheetViews>
  <sheetFormatPr baseColWidth="10" defaultRowHeight="15" x14ac:dyDescent="0.25"/>
  <cols>
    <col min="7" max="7" width="14.7109375" bestFit="1" customWidth="1"/>
  </cols>
  <sheetData>
    <row r="1" spans="1:146" x14ac:dyDescent="0.25">
      <c r="A1" s="7" t="s">
        <v>257</v>
      </c>
      <c r="B1">
        <v>5</v>
      </c>
      <c r="C1" t="s">
        <v>258</v>
      </c>
      <c r="D1">
        <v>1</v>
      </c>
      <c r="E1" t="s">
        <v>213</v>
      </c>
      <c r="F1">
        <v>4</v>
      </c>
      <c r="G1" t="s">
        <v>259</v>
      </c>
      <c r="H1">
        <v>8</v>
      </c>
      <c r="I1" t="s">
        <v>59</v>
      </c>
      <c r="J1">
        <v>32</v>
      </c>
      <c r="K1" t="s">
        <v>214</v>
      </c>
      <c r="L1">
        <v>13</v>
      </c>
      <c r="M1" t="s">
        <v>260</v>
      </c>
      <c r="N1">
        <v>1</v>
      </c>
      <c r="O1" t="s">
        <v>216</v>
      </c>
      <c r="P1">
        <v>21</v>
      </c>
      <c r="Q1" t="s">
        <v>217</v>
      </c>
      <c r="R1">
        <v>4</v>
      </c>
      <c r="S1" t="s">
        <v>261</v>
      </c>
      <c r="T1">
        <v>2</v>
      </c>
      <c r="U1" t="s">
        <v>218</v>
      </c>
      <c r="V1">
        <v>21</v>
      </c>
      <c r="W1" t="s">
        <v>219</v>
      </c>
      <c r="X1">
        <v>6</v>
      </c>
      <c r="Y1" t="s">
        <v>229</v>
      </c>
      <c r="Z1">
        <v>51</v>
      </c>
      <c r="AA1" t="s">
        <v>242</v>
      </c>
      <c r="AB1">
        <v>8</v>
      </c>
      <c r="AC1" t="s">
        <v>220</v>
      </c>
      <c r="AD1">
        <v>22</v>
      </c>
      <c r="AE1" t="s">
        <v>221</v>
      </c>
      <c r="AF1">
        <v>22</v>
      </c>
      <c r="AG1" t="s">
        <v>222</v>
      </c>
      <c r="AH1">
        <v>27</v>
      </c>
      <c r="AI1" t="s">
        <v>262</v>
      </c>
      <c r="AJ1">
        <v>3</v>
      </c>
      <c r="AK1" t="s">
        <v>224</v>
      </c>
      <c r="AL1">
        <v>63</v>
      </c>
      <c r="AM1" t="s">
        <v>263</v>
      </c>
      <c r="AN1">
        <v>3</v>
      </c>
      <c r="AO1" t="s">
        <v>225</v>
      </c>
      <c r="AP1">
        <v>11</v>
      </c>
      <c r="AQ1" t="s">
        <v>226</v>
      </c>
      <c r="AR1">
        <v>3</v>
      </c>
      <c r="AS1" t="s">
        <v>227</v>
      </c>
      <c r="AT1">
        <v>30</v>
      </c>
      <c r="AU1" t="s">
        <v>264</v>
      </c>
      <c r="AV1">
        <v>10</v>
      </c>
      <c r="AW1" t="s">
        <v>228</v>
      </c>
      <c r="AX1">
        <v>62</v>
      </c>
      <c r="AY1" t="s">
        <v>56</v>
      </c>
      <c r="AZ1">
        <v>2</v>
      </c>
      <c r="BA1" t="s">
        <v>265</v>
      </c>
      <c r="BB1">
        <v>1</v>
      </c>
      <c r="BC1" t="s">
        <v>266</v>
      </c>
      <c r="BD1">
        <v>2</v>
      </c>
      <c r="BE1" t="s">
        <v>230</v>
      </c>
      <c r="BF1">
        <v>48</v>
      </c>
      <c r="BG1" t="s">
        <v>231</v>
      </c>
      <c r="BH1">
        <v>1</v>
      </c>
      <c r="BI1" t="s">
        <v>232</v>
      </c>
      <c r="BJ1">
        <v>7</v>
      </c>
      <c r="BK1" t="s">
        <v>58</v>
      </c>
      <c r="BL1">
        <v>1</v>
      </c>
      <c r="BM1" t="s">
        <v>244</v>
      </c>
      <c r="BN1">
        <v>1</v>
      </c>
      <c r="BO1" t="s">
        <v>233</v>
      </c>
      <c r="BP1">
        <v>7</v>
      </c>
      <c r="BQ1" t="s">
        <v>267</v>
      </c>
      <c r="BR1">
        <v>1</v>
      </c>
      <c r="BS1" t="s">
        <v>235</v>
      </c>
      <c r="BT1">
        <v>7</v>
      </c>
      <c r="BU1" t="s">
        <v>268</v>
      </c>
      <c r="BV1">
        <v>4</v>
      </c>
      <c r="BW1" t="s">
        <v>269</v>
      </c>
      <c r="BX1">
        <v>11</v>
      </c>
      <c r="BY1" t="s">
        <v>270</v>
      </c>
      <c r="BZ1">
        <v>5</v>
      </c>
      <c r="CA1" t="s">
        <v>271</v>
      </c>
      <c r="CB1">
        <v>3</v>
      </c>
      <c r="CC1" t="s">
        <v>272</v>
      </c>
      <c r="CD1">
        <v>1</v>
      </c>
      <c r="CE1" t="s">
        <v>273</v>
      </c>
      <c r="CF1">
        <v>8</v>
      </c>
      <c r="CG1" t="s">
        <v>274</v>
      </c>
      <c r="CH1">
        <v>37</v>
      </c>
      <c r="CI1" t="s">
        <v>237</v>
      </c>
      <c r="CJ1">
        <v>6</v>
      </c>
      <c r="CK1" t="s">
        <v>238</v>
      </c>
      <c r="CL1">
        <v>25</v>
      </c>
      <c r="CM1" t="s">
        <v>239</v>
      </c>
      <c r="CN1">
        <v>6</v>
      </c>
      <c r="CO1" t="s">
        <v>240</v>
      </c>
      <c r="CP1">
        <v>2</v>
      </c>
      <c r="CQ1" t="s">
        <v>234</v>
      </c>
      <c r="CR1">
        <v>12</v>
      </c>
      <c r="CS1" t="s">
        <v>241</v>
      </c>
      <c r="CT1">
        <v>2</v>
      </c>
      <c r="CU1" t="s">
        <v>275</v>
      </c>
      <c r="CV1">
        <v>5</v>
      </c>
      <c r="CW1" s="9" t="s">
        <v>243</v>
      </c>
      <c r="CX1">
        <v>2</v>
      </c>
      <c r="CY1" t="s">
        <v>276</v>
      </c>
      <c r="CZ1">
        <v>1</v>
      </c>
      <c r="DA1" t="s">
        <v>277</v>
      </c>
      <c r="DB1">
        <v>2</v>
      </c>
      <c r="DC1" t="s">
        <v>245</v>
      </c>
      <c r="DD1">
        <v>10</v>
      </c>
      <c r="DE1" t="s">
        <v>246</v>
      </c>
      <c r="DF1">
        <v>1</v>
      </c>
      <c r="DG1" t="s">
        <v>278</v>
      </c>
      <c r="DH1">
        <v>1</v>
      </c>
      <c r="DI1" t="s">
        <v>236</v>
      </c>
      <c r="DJ1">
        <v>5</v>
      </c>
      <c r="DK1" t="s">
        <v>279</v>
      </c>
      <c r="DL1">
        <v>1</v>
      </c>
      <c r="DM1" t="s">
        <v>215</v>
      </c>
      <c r="DN1">
        <v>1</v>
      </c>
      <c r="DO1" t="s">
        <v>280</v>
      </c>
      <c r="DP1">
        <v>1</v>
      </c>
      <c r="DQ1" t="s">
        <v>247</v>
      </c>
      <c r="DR1">
        <v>1</v>
      </c>
      <c r="DS1" t="s">
        <v>248</v>
      </c>
      <c r="DT1">
        <v>19</v>
      </c>
      <c r="DU1" t="s">
        <v>223</v>
      </c>
      <c r="DV1">
        <v>20</v>
      </c>
      <c r="DW1" t="s">
        <v>249</v>
      </c>
      <c r="DX1">
        <v>5</v>
      </c>
      <c r="DY1" t="s">
        <v>281</v>
      </c>
      <c r="DZ1">
        <v>9</v>
      </c>
      <c r="EA1" t="s">
        <v>250</v>
      </c>
      <c r="EB1">
        <v>6</v>
      </c>
      <c r="EC1" t="s">
        <v>57</v>
      </c>
      <c r="ED1">
        <v>8</v>
      </c>
      <c r="EE1" t="s">
        <v>282</v>
      </c>
      <c r="EF1">
        <v>1</v>
      </c>
      <c r="EG1" t="s">
        <v>251</v>
      </c>
      <c r="EH1">
        <v>2</v>
      </c>
      <c r="EI1" t="s">
        <v>252</v>
      </c>
      <c r="EJ1">
        <v>28</v>
      </c>
      <c r="EK1" t="s">
        <v>253</v>
      </c>
      <c r="EL1">
        <v>25</v>
      </c>
      <c r="EM1" t="s">
        <v>254</v>
      </c>
      <c r="EN1">
        <v>11</v>
      </c>
      <c r="EO1" t="s">
        <v>255</v>
      </c>
      <c r="EP1" t="s">
        <v>256</v>
      </c>
    </row>
    <row r="2" spans="1:146" x14ac:dyDescent="0.25">
      <c r="A2" s="10"/>
      <c r="G2" s="9"/>
    </row>
    <row r="3" spans="1:146" x14ac:dyDescent="0.25">
      <c r="A3" s="10"/>
    </row>
    <row r="6" spans="1:146" x14ac:dyDescent="0.25">
      <c r="A6" t="s">
        <v>224</v>
      </c>
      <c r="B6">
        <v>63</v>
      </c>
    </row>
    <row r="7" spans="1:146" x14ac:dyDescent="0.25">
      <c r="A7" t="s">
        <v>228</v>
      </c>
      <c r="B7">
        <v>62</v>
      </c>
    </row>
    <row r="8" spans="1:146" x14ac:dyDescent="0.25">
      <c r="A8" t="s">
        <v>229</v>
      </c>
      <c r="B8">
        <v>51</v>
      </c>
    </row>
    <row r="9" spans="1:146" x14ac:dyDescent="0.25">
      <c r="A9" t="s">
        <v>230</v>
      </c>
      <c r="B9">
        <v>48</v>
      </c>
    </row>
    <row r="10" spans="1:146" x14ac:dyDescent="0.25">
      <c r="A10" t="s">
        <v>274</v>
      </c>
      <c r="B10">
        <v>37</v>
      </c>
    </row>
    <row r="11" spans="1:146" x14ac:dyDescent="0.25">
      <c r="A11" t="s">
        <v>59</v>
      </c>
      <c r="B11">
        <v>32</v>
      </c>
    </row>
    <row r="12" spans="1:146" x14ac:dyDescent="0.25">
      <c r="A12" t="s">
        <v>227</v>
      </c>
      <c r="B12">
        <v>30</v>
      </c>
    </row>
    <row r="13" spans="1:146" x14ac:dyDescent="0.25">
      <c r="A13" t="s">
        <v>252</v>
      </c>
      <c r="B13">
        <v>28</v>
      </c>
    </row>
    <row r="14" spans="1:146" x14ac:dyDescent="0.25">
      <c r="A14" t="s">
        <v>222</v>
      </c>
      <c r="B14">
        <v>27</v>
      </c>
    </row>
    <row r="15" spans="1:146" x14ac:dyDescent="0.25">
      <c r="A15" t="s">
        <v>238</v>
      </c>
      <c r="B15">
        <v>25</v>
      </c>
    </row>
    <row r="16" spans="1:146" x14ac:dyDescent="0.25">
      <c r="A16" t="s">
        <v>253</v>
      </c>
      <c r="B16">
        <v>25</v>
      </c>
    </row>
    <row r="17" spans="1:2" x14ac:dyDescent="0.25">
      <c r="A17" t="s">
        <v>220</v>
      </c>
      <c r="B17">
        <v>22</v>
      </c>
    </row>
    <row r="18" spans="1:2" x14ac:dyDescent="0.25">
      <c r="A18" t="s">
        <v>221</v>
      </c>
      <c r="B18">
        <v>22</v>
      </c>
    </row>
    <row r="19" spans="1:2" x14ac:dyDescent="0.25">
      <c r="A19" t="s">
        <v>216</v>
      </c>
      <c r="B19">
        <v>21</v>
      </c>
    </row>
    <row r="20" spans="1:2" x14ac:dyDescent="0.25">
      <c r="A20" t="s">
        <v>218</v>
      </c>
      <c r="B20">
        <v>21</v>
      </c>
    </row>
    <row r="21" spans="1:2" x14ac:dyDescent="0.25">
      <c r="A21" t="s">
        <v>223</v>
      </c>
      <c r="B21">
        <v>20</v>
      </c>
    </row>
    <row r="22" spans="1:2" x14ac:dyDescent="0.25">
      <c r="A22" t="s">
        <v>248</v>
      </c>
      <c r="B22">
        <v>19</v>
      </c>
    </row>
    <row r="23" spans="1:2" x14ac:dyDescent="0.25">
      <c r="A23" t="s">
        <v>214</v>
      </c>
      <c r="B23">
        <v>13</v>
      </c>
    </row>
    <row r="24" spans="1:2" x14ac:dyDescent="0.25">
      <c r="A24" t="s">
        <v>234</v>
      </c>
      <c r="B24">
        <v>12</v>
      </c>
    </row>
    <row r="25" spans="1:2" x14ac:dyDescent="0.25">
      <c r="A25" t="s">
        <v>225</v>
      </c>
      <c r="B25">
        <v>11</v>
      </c>
    </row>
    <row r="26" spans="1:2" x14ac:dyDescent="0.25">
      <c r="A26" t="s">
        <v>269</v>
      </c>
      <c r="B26">
        <v>11</v>
      </c>
    </row>
    <row r="27" spans="1:2" x14ac:dyDescent="0.25">
      <c r="A27" t="s">
        <v>254</v>
      </c>
      <c r="B27">
        <v>11</v>
      </c>
    </row>
    <row r="28" spans="1:2" x14ac:dyDescent="0.25">
      <c r="A28" t="s">
        <v>264</v>
      </c>
      <c r="B28">
        <v>10</v>
      </c>
    </row>
    <row r="29" spans="1:2" x14ac:dyDescent="0.25">
      <c r="A29" t="s">
        <v>245</v>
      </c>
      <c r="B29">
        <v>10</v>
      </c>
    </row>
    <row r="30" spans="1:2" x14ac:dyDescent="0.25">
      <c r="A30" t="s">
        <v>281</v>
      </c>
      <c r="B30">
        <v>9</v>
      </c>
    </row>
    <row r="31" spans="1:2" x14ac:dyDescent="0.25">
      <c r="A31" t="s">
        <v>259</v>
      </c>
      <c r="B31">
        <v>8</v>
      </c>
    </row>
    <row r="32" spans="1:2" x14ac:dyDescent="0.25">
      <c r="A32" t="s">
        <v>242</v>
      </c>
      <c r="B32">
        <v>8</v>
      </c>
    </row>
    <row r="33" spans="1:2" x14ac:dyDescent="0.25">
      <c r="A33" t="s">
        <v>273</v>
      </c>
      <c r="B33">
        <v>8</v>
      </c>
    </row>
    <row r="34" spans="1:2" x14ac:dyDescent="0.25">
      <c r="A34" t="s">
        <v>57</v>
      </c>
      <c r="B34">
        <v>8</v>
      </c>
    </row>
    <row r="35" spans="1:2" x14ac:dyDescent="0.25">
      <c r="A35" t="s">
        <v>232</v>
      </c>
      <c r="B35">
        <v>7</v>
      </c>
    </row>
    <row r="36" spans="1:2" x14ac:dyDescent="0.25">
      <c r="A36" t="s">
        <v>233</v>
      </c>
      <c r="B36">
        <v>7</v>
      </c>
    </row>
    <row r="37" spans="1:2" x14ac:dyDescent="0.25">
      <c r="A37" t="s">
        <v>235</v>
      </c>
      <c r="B37">
        <v>7</v>
      </c>
    </row>
    <row r="38" spans="1:2" x14ac:dyDescent="0.25">
      <c r="A38" t="s">
        <v>219</v>
      </c>
      <c r="B38">
        <v>6</v>
      </c>
    </row>
    <row r="39" spans="1:2" x14ac:dyDescent="0.25">
      <c r="A39" t="s">
        <v>237</v>
      </c>
      <c r="B39">
        <v>6</v>
      </c>
    </row>
    <row r="40" spans="1:2" x14ac:dyDescent="0.25">
      <c r="A40" t="s">
        <v>239</v>
      </c>
      <c r="B40">
        <v>6</v>
      </c>
    </row>
    <row r="41" spans="1:2" x14ac:dyDescent="0.25">
      <c r="A41" t="s">
        <v>250</v>
      </c>
      <c r="B41">
        <v>6</v>
      </c>
    </row>
    <row r="42" spans="1:2" x14ac:dyDescent="0.25">
      <c r="A42" s="10" t="s">
        <v>283</v>
      </c>
      <c r="B42">
        <v>5</v>
      </c>
    </row>
    <row r="43" spans="1:2" x14ac:dyDescent="0.25">
      <c r="A43" t="s">
        <v>270</v>
      </c>
      <c r="B43">
        <v>5</v>
      </c>
    </row>
    <row r="44" spans="1:2" x14ac:dyDescent="0.25">
      <c r="A44" t="s">
        <v>275</v>
      </c>
      <c r="B44">
        <v>5</v>
      </c>
    </row>
    <row r="45" spans="1:2" x14ac:dyDescent="0.25">
      <c r="A45" t="s">
        <v>236</v>
      </c>
      <c r="B45">
        <v>5</v>
      </c>
    </row>
    <row r="46" spans="1:2" x14ac:dyDescent="0.25">
      <c r="A46" t="s">
        <v>249</v>
      </c>
      <c r="B46">
        <v>5</v>
      </c>
    </row>
    <row r="47" spans="1:2" x14ac:dyDescent="0.25">
      <c r="A47" t="s">
        <v>213</v>
      </c>
      <c r="B47">
        <v>4</v>
      </c>
    </row>
    <row r="48" spans="1:2" x14ac:dyDescent="0.25">
      <c r="A48" t="s">
        <v>217</v>
      </c>
      <c r="B48">
        <v>4</v>
      </c>
    </row>
    <row r="49" spans="1:2" x14ac:dyDescent="0.25">
      <c r="A49" t="s">
        <v>268</v>
      </c>
      <c r="B49">
        <v>4</v>
      </c>
    </row>
    <row r="50" spans="1:2" x14ac:dyDescent="0.25">
      <c r="A50" t="s">
        <v>262</v>
      </c>
      <c r="B50">
        <v>3</v>
      </c>
    </row>
    <row r="51" spans="1:2" x14ac:dyDescent="0.25">
      <c r="A51" t="s">
        <v>263</v>
      </c>
      <c r="B51">
        <v>3</v>
      </c>
    </row>
    <row r="52" spans="1:2" x14ac:dyDescent="0.25">
      <c r="A52" t="s">
        <v>226</v>
      </c>
      <c r="B52">
        <v>3</v>
      </c>
    </row>
    <row r="53" spans="1:2" x14ac:dyDescent="0.25">
      <c r="A53" t="s">
        <v>271</v>
      </c>
      <c r="B53">
        <v>3</v>
      </c>
    </row>
    <row r="54" spans="1:2" x14ac:dyDescent="0.25">
      <c r="A54" t="s">
        <v>261</v>
      </c>
      <c r="B54">
        <v>2</v>
      </c>
    </row>
    <row r="55" spans="1:2" x14ac:dyDescent="0.25">
      <c r="A55" t="s">
        <v>56</v>
      </c>
      <c r="B55">
        <v>2</v>
      </c>
    </row>
    <row r="56" spans="1:2" x14ac:dyDescent="0.25">
      <c r="A56" t="s">
        <v>266</v>
      </c>
      <c r="B56">
        <v>2</v>
      </c>
    </row>
    <row r="57" spans="1:2" x14ac:dyDescent="0.25">
      <c r="A57" t="s">
        <v>240</v>
      </c>
      <c r="B57">
        <v>2</v>
      </c>
    </row>
    <row r="58" spans="1:2" x14ac:dyDescent="0.25">
      <c r="A58" t="s">
        <v>241</v>
      </c>
      <c r="B58">
        <v>2</v>
      </c>
    </row>
    <row r="59" spans="1:2" x14ac:dyDescent="0.25">
      <c r="A59" t="s">
        <v>243</v>
      </c>
      <c r="B59">
        <v>2</v>
      </c>
    </row>
    <row r="60" spans="1:2" x14ac:dyDescent="0.25">
      <c r="A60" t="s">
        <v>277</v>
      </c>
      <c r="B60">
        <v>2</v>
      </c>
    </row>
    <row r="61" spans="1:2" x14ac:dyDescent="0.25">
      <c r="A61" t="s">
        <v>251</v>
      </c>
      <c r="B61">
        <v>2</v>
      </c>
    </row>
    <row r="62" spans="1:2" x14ac:dyDescent="0.25">
      <c r="A62" s="10" t="s">
        <v>258</v>
      </c>
      <c r="B62">
        <v>1</v>
      </c>
    </row>
    <row r="63" spans="1:2" x14ac:dyDescent="0.25">
      <c r="A63" t="s">
        <v>260</v>
      </c>
      <c r="B63">
        <v>1</v>
      </c>
    </row>
    <row r="64" spans="1:2" x14ac:dyDescent="0.25">
      <c r="A64" t="s">
        <v>265</v>
      </c>
      <c r="B64">
        <v>1</v>
      </c>
    </row>
    <row r="65" spans="1:2" x14ac:dyDescent="0.25">
      <c r="A65" t="s">
        <v>231</v>
      </c>
      <c r="B65">
        <v>1</v>
      </c>
    </row>
    <row r="66" spans="1:2" x14ac:dyDescent="0.25">
      <c r="A66" t="s">
        <v>58</v>
      </c>
      <c r="B66">
        <v>1</v>
      </c>
    </row>
    <row r="67" spans="1:2" x14ac:dyDescent="0.25">
      <c r="A67" t="s">
        <v>244</v>
      </c>
      <c r="B67">
        <v>1</v>
      </c>
    </row>
    <row r="68" spans="1:2" x14ac:dyDescent="0.25">
      <c r="A68" t="s">
        <v>267</v>
      </c>
      <c r="B68">
        <v>1</v>
      </c>
    </row>
    <row r="69" spans="1:2" x14ac:dyDescent="0.25">
      <c r="A69" t="s">
        <v>272</v>
      </c>
      <c r="B69">
        <v>1</v>
      </c>
    </row>
    <row r="70" spans="1:2" x14ac:dyDescent="0.25">
      <c r="A70" t="s">
        <v>276</v>
      </c>
      <c r="B70">
        <v>1</v>
      </c>
    </row>
    <row r="71" spans="1:2" x14ac:dyDescent="0.25">
      <c r="A71" t="s">
        <v>246</v>
      </c>
      <c r="B71">
        <v>1</v>
      </c>
    </row>
    <row r="72" spans="1:2" x14ac:dyDescent="0.25">
      <c r="A72" t="s">
        <v>278</v>
      </c>
      <c r="B72">
        <v>1</v>
      </c>
    </row>
    <row r="73" spans="1:2" x14ac:dyDescent="0.25">
      <c r="A73" t="s">
        <v>279</v>
      </c>
      <c r="B73">
        <v>1</v>
      </c>
    </row>
    <row r="74" spans="1:2" x14ac:dyDescent="0.25">
      <c r="A74" t="s">
        <v>215</v>
      </c>
      <c r="B74">
        <v>1</v>
      </c>
    </row>
    <row r="75" spans="1:2" x14ac:dyDescent="0.25">
      <c r="A75" t="s">
        <v>280</v>
      </c>
      <c r="B75">
        <v>1</v>
      </c>
    </row>
    <row r="76" spans="1:2" x14ac:dyDescent="0.25">
      <c r="A76" t="s">
        <v>247</v>
      </c>
      <c r="B76">
        <v>1</v>
      </c>
    </row>
    <row r="77" spans="1:2" x14ac:dyDescent="0.25">
      <c r="A77" t="s">
        <v>282</v>
      </c>
      <c r="B77">
        <v>1</v>
      </c>
    </row>
    <row r="78" spans="1:2" x14ac:dyDescent="0.25">
      <c r="A78" t="s">
        <v>255</v>
      </c>
      <c r="B78">
        <v>1</v>
      </c>
    </row>
    <row r="390" spans="1:1" x14ac:dyDescent="0.25">
      <c r="A390" t="s">
        <v>28</v>
      </c>
    </row>
    <row r="391" spans="1:1" x14ac:dyDescent="0.25">
      <c r="A391" t="s">
        <v>38</v>
      </c>
    </row>
    <row r="392" spans="1:1" x14ac:dyDescent="0.25">
      <c r="A392" t="s">
        <v>44</v>
      </c>
    </row>
    <row r="393" spans="1:1" x14ac:dyDescent="0.25">
      <c r="A393">
        <v>17</v>
      </c>
    </row>
    <row r="394" spans="1:1" x14ac:dyDescent="0.25">
      <c r="A394">
        <v>2</v>
      </c>
    </row>
    <row r="395" spans="1:1" x14ac:dyDescent="0.25">
      <c r="A395">
        <v>9</v>
      </c>
    </row>
    <row r="396" spans="1:1" x14ac:dyDescent="0.25">
      <c r="A396" t="s">
        <v>29</v>
      </c>
    </row>
    <row r="398" spans="1:1" x14ac:dyDescent="0.25">
      <c r="A398" t="s">
        <v>45</v>
      </c>
    </row>
    <row r="399" spans="1:1" x14ac:dyDescent="0.25">
      <c r="A399">
        <v>14</v>
      </c>
    </row>
    <row r="401" spans="1:1" x14ac:dyDescent="0.25">
      <c r="A401">
        <v>1</v>
      </c>
    </row>
    <row r="402" spans="1:1" x14ac:dyDescent="0.25">
      <c r="A402" t="s">
        <v>30</v>
      </c>
    </row>
    <row r="404" spans="1:1" x14ac:dyDescent="0.25">
      <c r="A404" t="s">
        <v>46</v>
      </c>
    </row>
    <row r="405" spans="1:1" x14ac:dyDescent="0.25">
      <c r="A405">
        <v>1</v>
      </c>
    </row>
    <row r="407" spans="1:1" x14ac:dyDescent="0.25">
      <c r="A407">
        <v>2</v>
      </c>
    </row>
    <row r="408" spans="1:1" x14ac:dyDescent="0.25">
      <c r="A408" t="s">
        <v>31</v>
      </c>
    </row>
    <row r="410" spans="1:1" x14ac:dyDescent="0.25">
      <c r="A410" t="s">
        <v>47</v>
      </c>
    </row>
    <row r="411" spans="1:1" x14ac:dyDescent="0.25">
      <c r="A411">
        <v>5</v>
      </c>
    </row>
    <row r="413" spans="1:1" x14ac:dyDescent="0.25">
      <c r="A413">
        <v>17</v>
      </c>
    </row>
    <row r="416" spans="1:1" x14ac:dyDescent="0.25">
      <c r="A416" t="s">
        <v>48</v>
      </c>
    </row>
    <row r="419" spans="1:1" x14ac:dyDescent="0.25">
      <c r="A419">
        <v>4</v>
      </c>
    </row>
    <row r="422" spans="1:1" x14ac:dyDescent="0.25">
      <c r="A422" t="s">
        <v>49</v>
      </c>
    </row>
    <row r="425" spans="1:1" x14ac:dyDescent="0.25">
      <c r="A425">
        <v>1</v>
      </c>
    </row>
    <row r="428" spans="1:1" x14ac:dyDescent="0.25">
      <c r="A428" t="s">
        <v>50</v>
      </c>
    </row>
    <row r="431" spans="1:1" x14ac:dyDescent="0.25">
      <c r="A431">
        <v>178</v>
      </c>
    </row>
    <row r="434" spans="1:1" x14ac:dyDescent="0.25">
      <c r="A434" t="s">
        <v>51</v>
      </c>
    </row>
    <row r="437" spans="1:1" x14ac:dyDescent="0.25">
      <c r="A437">
        <v>17</v>
      </c>
    </row>
  </sheetData>
  <sortState ref="A6:B222">
    <sortCondition descending="1" ref="B6:B222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ommandButton1">
          <controlPr defaultSize="0" autoLine="0" r:id="rId4">
            <anchor moveWithCells="1">
              <from>
                <xdr:col>4</xdr:col>
                <xdr:colOff>304800</xdr:colOff>
                <xdr:row>5</xdr:row>
                <xdr:rowOff>38100</xdr:rowOff>
              </from>
              <to>
                <xdr:col>6</xdr:col>
                <xdr:colOff>428625</xdr:colOff>
                <xdr:row>7</xdr:row>
                <xdr:rowOff>76200</xdr:rowOff>
              </to>
            </anchor>
          </controlPr>
        </control>
      </mc:Choice>
      <mc:Fallback>
        <control shapeId="20481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Y197"/>
  <sheetViews>
    <sheetView topLeftCell="A38" zoomScale="85" zoomScaleNormal="85" workbookViewId="0">
      <selection activeCell="J4" sqref="J4:J76"/>
    </sheetView>
  </sheetViews>
  <sheetFormatPr baseColWidth="10" defaultRowHeight="15" x14ac:dyDescent="0.25"/>
  <cols>
    <col min="1" max="1" width="14.7109375" bestFit="1" customWidth="1"/>
  </cols>
  <sheetData>
    <row r="2" spans="1:25" x14ac:dyDescent="0.25">
      <c r="O2" s="14" t="s">
        <v>66</v>
      </c>
      <c r="P2" s="14"/>
      <c r="V2" s="14" t="s">
        <v>69</v>
      </c>
      <c r="W2" s="14"/>
    </row>
    <row r="3" spans="1:25" x14ac:dyDescent="0.25">
      <c r="A3" s="14" t="s">
        <v>53</v>
      </c>
      <c r="B3" s="14"/>
      <c r="D3" s="14" t="s">
        <v>52</v>
      </c>
      <c r="E3" s="14"/>
      <c r="G3" s="14" t="s">
        <v>54</v>
      </c>
      <c r="H3" s="14"/>
      <c r="J3" s="14" t="s">
        <v>55</v>
      </c>
      <c r="K3" s="14"/>
      <c r="O3" s="11" t="s">
        <v>67</v>
      </c>
      <c r="P3" s="11" t="s">
        <v>68</v>
      </c>
      <c r="Q3" s="11" t="s">
        <v>67</v>
      </c>
      <c r="R3" s="11" t="s">
        <v>68</v>
      </c>
      <c r="V3" s="11" t="s">
        <v>67</v>
      </c>
      <c r="W3" s="11" t="s">
        <v>68</v>
      </c>
      <c r="X3" s="11" t="s">
        <v>67</v>
      </c>
      <c r="Y3" s="11" t="s">
        <v>68</v>
      </c>
    </row>
    <row r="4" spans="1:25" x14ac:dyDescent="0.25">
      <c r="A4" t="s">
        <v>284</v>
      </c>
      <c r="B4">
        <v>482</v>
      </c>
      <c r="D4" s="10" t="s">
        <v>319</v>
      </c>
      <c r="E4">
        <v>392</v>
      </c>
      <c r="G4" t="s">
        <v>36</v>
      </c>
      <c r="H4">
        <v>731</v>
      </c>
      <c r="J4" t="s">
        <v>285</v>
      </c>
      <c r="K4">
        <v>63</v>
      </c>
      <c r="N4" s="10" t="s">
        <v>319</v>
      </c>
      <c r="O4">
        <f>+SUMIF($A$4:$A$208,N4,$B$4:$B$208)</f>
        <v>0</v>
      </c>
      <c r="P4">
        <f>+SUMIF($D$4:$D$231,N4,$E$4:$E$231)</f>
        <v>392</v>
      </c>
      <c r="Q4" s="12">
        <f>+IFERROR(LOG(O4),0)</f>
        <v>0</v>
      </c>
      <c r="R4" s="12">
        <f>+IFERROR(LOG(P4),0)</f>
        <v>2.5932860670204572</v>
      </c>
      <c r="U4" t="s">
        <v>285</v>
      </c>
      <c r="V4">
        <f>+SUMIF($G$4:$G$208,U4,$H$4:$H$208)</f>
        <v>0</v>
      </c>
      <c r="W4">
        <f>+SUMIF($J$4:$J$231,U4,$K$4:$K$231)</f>
        <v>63</v>
      </c>
      <c r="X4" s="12">
        <f>+IFERROR(LOG(V4),0)</f>
        <v>0</v>
      </c>
      <c r="Y4" s="12">
        <f>+IFERROR(LOG(W4),0)</f>
        <v>1.7993405494535817</v>
      </c>
    </row>
    <row r="5" spans="1:25" x14ac:dyDescent="0.25">
      <c r="A5" t="s">
        <v>285</v>
      </c>
      <c r="B5">
        <v>60</v>
      </c>
      <c r="D5" t="s">
        <v>320</v>
      </c>
      <c r="E5">
        <v>243</v>
      </c>
      <c r="G5" t="s">
        <v>322</v>
      </c>
      <c r="H5">
        <v>43</v>
      </c>
      <c r="J5" t="s">
        <v>295</v>
      </c>
      <c r="K5">
        <v>62</v>
      </c>
      <c r="N5" t="s">
        <v>320</v>
      </c>
      <c r="O5">
        <f>+SUMIF($A$4:$A$208,N5,$B$4:$B$208)</f>
        <v>0</v>
      </c>
      <c r="P5">
        <f>+SUMIF($D$4:$D$231,N5,$E$4:$E$231)</f>
        <v>243</v>
      </c>
      <c r="Q5" s="12">
        <f>+IFERROR(LOG(O5),0)</f>
        <v>0</v>
      </c>
      <c r="R5" s="12">
        <f>+IFERROR(LOG(P5),0)</f>
        <v>2.3856062735983121</v>
      </c>
      <c r="U5" t="s">
        <v>295</v>
      </c>
      <c r="V5">
        <f>+SUMIF($G$4:$G$208,U5,$H$4:$H$208)</f>
        <v>0</v>
      </c>
      <c r="W5">
        <f>+SUMIF($J$4:$J$231,U5,$K$4:$K$231)</f>
        <v>62</v>
      </c>
      <c r="X5" s="12">
        <f>+IFERROR(LOG(V5),0)</f>
        <v>0</v>
      </c>
      <c r="Y5" s="12">
        <f>+IFERROR(LOG(W5),0)</f>
        <v>1.7923916894982539</v>
      </c>
    </row>
    <row r="6" spans="1:25" x14ac:dyDescent="0.25">
      <c r="A6" t="s">
        <v>286</v>
      </c>
      <c r="B6">
        <v>40</v>
      </c>
      <c r="D6" t="s">
        <v>321</v>
      </c>
      <c r="E6">
        <v>236</v>
      </c>
      <c r="G6" t="s">
        <v>33</v>
      </c>
      <c r="H6">
        <v>22</v>
      </c>
      <c r="J6" t="s">
        <v>290</v>
      </c>
      <c r="K6">
        <v>51</v>
      </c>
      <c r="N6" t="s">
        <v>321</v>
      </c>
      <c r="O6">
        <f>+SUMIF($A$4:$A$208,N6,$B$4:$B$208)</f>
        <v>0</v>
      </c>
      <c r="P6">
        <f>+SUMIF($D$4:$D$231,N6,$E$4:$E$231)</f>
        <v>236</v>
      </c>
      <c r="Q6" s="12">
        <f>+IFERROR(LOG(O6),0)</f>
        <v>0</v>
      </c>
      <c r="R6" s="12">
        <f>+IFERROR(LOG(P6),0)</f>
        <v>2.3729120029701067</v>
      </c>
      <c r="U6" t="s">
        <v>290</v>
      </c>
      <c r="V6">
        <f>+SUMIF($G$4:$G$208,U6,$H$4:$H$208)</f>
        <v>0</v>
      </c>
      <c r="W6">
        <f>+SUMIF($J$4:$J$231,U6,$K$4:$K$231)</f>
        <v>51</v>
      </c>
      <c r="X6" s="12">
        <f>+IFERROR(LOG(V6),0)</f>
        <v>0</v>
      </c>
      <c r="Y6" s="12">
        <f>+IFERROR(LOG(W6),0)</f>
        <v>1.7075701760979363</v>
      </c>
    </row>
    <row r="7" spans="1:25" x14ac:dyDescent="0.25">
      <c r="A7" t="s">
        <v>42</v>
      </c>
      <c r="B7">
        <v>28</v>
      </c>
      <c r="D7" t="s">
        <v>33</v>
      </c>
      <c r="E7">
        <v>25</v>
      </c>
      <c r="G7" s="10" t="s">
        <v>326</v>
      </c>
      <c r="H7">
        <v>3</v>
      </c>
      <c r="J7" t="s">
        <v>286</v>
      </c>
      <c r="K7">
        <v>48</v>
      </c>
      <c r="N7" t="s">
        <v>33</v>
      </c>
      <c r="O7">
        <f>+SUMIF($A$4:$A$208,N7,$B$4:$B$208)</f>
        <v>0</v>
      </c>
      <c r="P7">
        <f>+SUMIF($D$4:$D$231,N7,$E$4:$E$231)</f>
        <v>25</v>
      </c>
      <c r="Q7" s="12">
        <f>+IFERROR(LOG(O7),0)</f>
        <v>0</v>
      </c>
      <c r="R7" s="12">
        <f>+IFERROR(LOG(P7),0)</f>
        <v>1.3979400086720377</v>
      </c>
      <c r="U7" t="s">
        <v>286</v>
      </c>
      <c r="V7">
        <f>+SUMIF($G$4:$G$208,U7,$H$4:$H$208)</f>
        <v>0</v>
      </c>
      <c r="W7">
        <f>+SUMIF($J$4:$J$231,U7,$K$4:$K$231)</f>
        <v>48</v>
      </c>
      <c r="X7" s="12">
        <f>+IFERROR(LOG(V7),0)</f>
        <v>0</v>
      </c>
      <c r="Y7" s="12">
        <f>+IFERROR(LOG(W7),0)</f>
        <v>1.6812412373755872</v>
      </c>
    </row>
    <row r="8" spans="1:25" x14ac:dyDescent="0.25">
      <c r="A8" t="s">
        <v>287</v>
      </c>
      <c r="B8">
        <v>25</v>
      </c>
      <c r="D8" t="s">
        <v>307</v>
      </c>
      <c r="E8">
        <v>19</v>
      </c>
      <c r="J8" t="s">
        <v>327</v>
      </c>
      <c r="K8">
        <v>37</v>
      </c>
      <c r="N8" t="s">
        <v>307</v>
      </c>
      <c r="O8">
        <f>+SUMIF($A$4:$A$208,N8,$B$4:$B$208)</f>
        <v>3</v>
      </c>
      <c r="P8">
        <f>+SUMIF($D$4:$D$231,N8,$E$4:$E$231)</f>
        <v>19</v>
      </c>
      <c r="Q8" s="12">
        <f>+IFERROR(LOG(O8),0)</f>
        <v>0.47712125471966244</v>
      </c>
      <c r="R8" s="12">
        <f>+IFERROR(LOG(P8),0)</f>
        <v>1.2787536009528289</v>
      </c>
      <c r="U8" t="s">
        <v>327</v>
      </c>
      <c r="V8">
        <f>+SUMIF($G$4:$G$208,U8,$H$4:$H$208)</f>
        <v>0</v>
      </c>
      <c r="W8">
        <f>+SUMIF($J$4:$J$231,U8,$K$4:$K$231)</f>
        <v>37</v>
      </c>
      <c r="X8" s="12">
        <f>+IFERROR(LOG(V8),0)</f>
        <v>0</v>
      </c>
      <c r="Y8" s="12">
        <f>+IFERROR(LOG(W8),0)</f>
        <v>1.568201724066995</v>
      </c>
    </row>
    <row r="9" spans="1:25" x14ac:dyDescent="0.25">
      <c r="A9" t="s">
        <v>44</v>
      </c>
      <c r="B9">
        <v>25</v>
      </c>
      <c r="D9" t="s">
        <v>322</v>
      </c>
      <c r="E9">
        <v>6</v>
      </c>
      <c r="J9" t="s">
        <v>46</v>
      </c>
      <c r="K9">
        <v>32</v>
      </c>
      <c r="N9" t="s">
        <v>322</v>
      </c>
      <c r="O9">
        <f>+SUMIF($A$4:$A$208,N9,$B$4:$B$208)</f>
        <v>0</v>
      </c>
      <c r="P9">
        <f>+SUMIF($D$4:$D$231,N9,$E$4:$E$231)</f>
        <v>6</v>
      </c>
      <c r="Q9" s="12">
        <f>+IFERROR(LOG(O9),0)</f>
        <v>0</v>
      </c>
      <c r="R9" s="12">
        <f>+IFERROR(LOG(P9),0)</f>
        <v>0.77815125038364363</v>
      </c>
      <c r="U9" t="s">
        <v>46</v>
      </c>
      <c r="V9">
        <f>+SUMIF($G$4:$G$208,U9,$H$4:$H$208)</f>
        <v>0</v>
      </c>
      <c r="W9">
        <f>+SUMIF($J$4:$J$231,U9,$K$4:$K$231)</f>
        <v>32</v>
      </c>
      <c r="X9" s="12">
        <f>+IFERROR(LOG(V9),0)</f>
        <v>0</v>
      </c>
      <c r="Y9" s="12">
        <f>+IFERROR(LOG(W9),0)</f>
        <v>1.505149978319906</v>
      </c>
    </row>
    <row r="10" spans="1:25" x14ac:dyDescent="0.25">
      <c r="A10" t="s">
        <v>288</v>
      </c>
      <c r="B10">
        <v>23</v>
      </c>
      <c r="D10" t="s">
        <v>323</v>
      </c>
      <c r="E10">
        <v>6</v>
      </c>
      <c r="J10" t="s">
        <v>289</v>
      </c>
      <c r="K10">
        <v>30</v>
      </c>
      <c r="N10" t="s">
        <v>323</v>
      </c>
      <c r="O10">
        <f>+SUMIF($A$4:$A$208,N10,$B$4:$B$208)</f>
        <v>0</v>
      </c>
      <c r="P10">
        <f>+SUMIF($D$4:$D$231,N10,$E$4:$E$231)</f>
        <v>6</v>
      </c>
      <c r="Q10" s="12">
        <f>+IFERROR(LOG(O10),0)</f>
        <v>0</v>
      </c>
      <c r="R10" s="12">
        <f>+IFERROR(LOG(P10),0)</f>
        <v>0.77815125038364363</v>
      </c>
      <c r="U10" t="s">
        <v>289</v>
      </c>
      <c r="V10">
        <f>+SUMIF($G$4:$G$208,U10,$H$4:$H$208)</f>
        <v>0</v>
      </c>
      <c r="W10">
        <f>+SUMIF($J$4:$J$231,U10,$K$4:$K$231)</f>
        <v>30</v>
      </c>
      <c r="X10" s="12">
        <f>+IFERROR(LOG(V10),0)</f>
        <v>0</v>
      </c>
      <c r="Y10" s="12">
        <f>+IFERROR(LOG(W10),0)</f>
        <v>1.4771212547196624</v>
      </c>
    </row>
    <row r="11" spans="1:25" x14ac:dyDescent="0.25">
      <c r="A11" t="s">
        <v>289</v>
      </c>
      <c r="B11">
        <v>22</v>
      </c>
      <c r="D11" t="s">
        <v>28</v>
      </c>
      <c r="E11">
        <v>3</v>
      </c>
      <c r="J11" t="s">
        <v>292</v>
      </c>
      <c r="K11">
        <v>28</v>
      </c>
      <c r="N11" t="s">
        <v>61</v>
      </c>
      <c r="O11">
        <f>+SUMIF($A$4:$A$208,N11,$B$4:$B$208)</f>
        <v>3</v>
      </c>
      <c r="P11">
        <f>+SUMIF($D$4:$D$231,N11,$E$4:$E$231)</f>
        <v>3</v>
      </c>
      <c r="Q11" s="12">
        <f>+IFERROR(LOG(O11),0)</f>
        <v>0.47712125471966244</v>
      </c>
      <c r="R11" s="12">
        <f>+IFERROR(LOG(P11),0)</f>
        <v>0.47712125471966244</v>
      </c>
      <c r="U11" t="s">
        <v>292</v>
      </c>
      <c r="V11">
        <f>+SUMIF($G$4:$G$208,U11,$H$4:$H$208)</f>
        <v>0</v>
      </c>
      <c r="W11">
        <f>+SUMIF($J$4:$J$231,U11,$K$4:$K$231)</f>
        <v>28</v>
      </c>
      <c r="X11" s="12">
        <f>+IFERROR(LOG(V11),0)</f>
        <v>0</v>
      </c>
      <c r="Y11" s="12">
        <f>+IFERROR(LOG(W11),0)</f>
        <v>1.4471580313422192</v>
      </c>
    </row>
    <row r="12" spans="1:25" x14ac:dyDescent="0.25">
      <c r="A12" t="s">
        <v>290</v>
      </c>
      <c r="B12">
        <v>21</v>
      </c>
      <c r="D12" t="s">
        <v>61</v>
      </c>
      <c r="E12">
        <v>3</v>
      </c>
      <c r="J12" t="s">
        <v>42</v>
      </c>
      <c r="K12">
        <v>27</v>
      </c>
      <c r="N12" t="s">
        <v>28</v>
      </c>
      <c r="O12">
        <f>+SUMIF($A$4:$A$208,N12,$B$4:$B$208)</f>
        <v>1</v>
      </c>
      <c r="P12">
        <f>+SUMIF($D$4:$D$231,N12,$E$4:$E$231)</f>
        <v>3</v>
      </c>
      <c r="Q12" s="12">
        <f>+IFERROR(LOG(O12),0)</f>
        <v>0</v>
      </c>
      <c r="R12" s="12">
        <f>+IFERROR(LOG(P12),0)</f>
        <v>0.47712125471966244</v>
      </c>
      <c r="U12" t="s">
        <v>42</v>
      </c>
      <c r="V12">
        <f>+SUMIF($G$4:$G$208,U12,$H$4:$H$208)</f>
        <v>0</v>
      </c>
      <c r="W12">
        <f>+SUMIF($J$4:$J$231,U12,$K$4:$K$231)</f>
        <v>27</v>
      </c>
      <c r="X12" s="12">
        <f>+IFERROR(LOG(V12),0)</f>
        <v>0</v>
      </c>
      <c r="Y12" s="12">
        <f>+IFERROR(LOG(W12),0)</f>
        <v>1.4313637641589874</v>
      </c>
    </row>
    <row r="13" spans="1:25" x14ac:dyDescent="0.25">
      <c r="A13" t="s">
        <v>43</v>
      </c>
      <c r="B13">
        <v>18</v>
      </c>
      <c r="D13" t="s">
        <v>324</v>
      </c>
      <c r="E13">
        <v>3</v>
      </c>
      <c r="J13" t="s">
        <v>287</v>
      </c>
      <c r="K13">
        <v>25</v>
      </c>
      <c r="N13" t="s">
        <v>324</v>
      </c>
      <c r="O13">
        <f>+SUMIF($A$4:$A$208,N13,$B$4:$B$208)</f>
        <v>0</v>
      </c>
      <c r="P13">
        <f>+SUMIF($D$4:$D$231,N13,$E$4:$E$231)</f>
        <v>3</v>
      </c>
      <c r="Q13" s="12">
        <f>+IFERROR(LOG(O13),0)</f>
        <v>0</v>
      </c>
      <c r="R13" s="12">
        <f>+IFERROR(LOG(P13),0)</f>
        <v>0.47712125471966244</v>
      </c>
      <c r="U13" t="s">
        <v>287</v>
      </c>
      <c r="V13">
        <f>+SUMIF($G$4:$G$208,U13,$H$4:$H$208)</f>
        <v>0</v>
      </c>
      <c r="W13">
        <f>+SUMIF($J$4:$J$231,U13,$K$4:$K$231)</f>
        <v>25</v>
      </c>
      <c r="X13" s="12">
        <f>+IFERROR(LOG(V13),0)</f>
        <v>0</v>
      </c>
      <c r="Y13" s="12">
        <f>+IFERROR(LOG(W13),0)</f>
        <v>1.3979400086720377</v>
      </c>
    </row>
    <row r="14" spans="1:25" x14ac:dyDescent="0.25">
      <c r="A14" t="s">
        <v>291</v>
      </c>
      <c r="B14">
        <v>17</v>
      </c>
      <c r="D14" t="s">
        <v>20</v>
      </c>
      <c r="E14">
        <v>2</v>
      </c>
      <c r="J14" t="s">
        <v>35</v>
      </c>
      <c r="K14">
        <v>25</v>
      </c>
      <c r="N14" t="s">
        <v>20</v>
      </c>
      <c r="O14">
        <f>+SUMIF($A$4:$A$208,N14,$B$4:$B$208)</f>
        <v>2</v>
      </c>
      <c r="P14">
        <f>+SUMIF($D$4:$D$231,N14,$E$4:$E$231)</f>
        <v>2</v>
      </c>
      <c r="Q14" s="12">
        <f>+IFERROR(LOG(O14),0)</f>
        <v>0.3010299956639812</v>
      </c>
      <c r="R14" s="12">
        <f>+IFERROR(LOG(P14),0)</f>
        <v>0.3010299956639812</v>
      </c>
      <c r="U14" t="s">
        <v>35</v>
      </c>
      <c r="V14">
        <f>+SUMIF($G$4:$G$208,U14,$H$4:$H$208)</f>
        <v>0</v>
      </c>
      <c r="W14">
        <f>+SUMIF($J$4:$J$231,U14,$K$4:$K$231)</f>
        <v>25</v>
      </c>
      <c r="X14" s="12">
        <f>+IFERROR(LOG(V14),0)</f>
        <v>0</v>
      </c>
      <c r="Y14" s="12">
        <f>+IFERROR(LOG(W14),0)</f>
        <v>1.3979400086720377</v>
      </c>
    </row>
    <row r="15" spans="1:25" x14ac:dyDescent="0.25">
      <c r="A15" t="s">
        <v>292</v>
      </c>
      <c r="B15">
        <v>16</v>
      </c>
      <c r="D15" t="s">
        <v>325</v>
      </c>
      <c r="E15">
        <v>1</v>
      </c>
      <c r="J15" t="s">
        <v>44</v>
      </c>
      <c r="K15">
        <v>22</v>
      </c>
      <c r="N15" t="s">
        <v>284</v>
      </c>
      <c r="O15">
        <f>+SUMIF($A$4:$A$208,N15,$B$4:$B$208)</f>
        <v>482</v>
      </c>
      <c r="P15">
        <f>+SUMIF($D$4:$D$231,N15,$E$4:$E$231)</f>
        <v>0</v>
      </c>
      <c r="Q15" s="12">
        <f>+IFERROR(LOG(O15),0)</f>
        <v>2.6830470382388496</v>
      </c>
      <c r="R15" s="12">
        <f>+IFERROR(LOG(P15),0)</f>
        <v>0</v>
      </c>
      <c r="U15" t="s">
        <v>44</v>
      </c>
      <c r="V15">
        <f>+SUMIF($G$4:$G$208,U15,$H$4:$H$208)</f>
        <v>0</v>
      </c>
      <c r="W15">
        <f>+SUMIF($J$4:$J$231,U15,$K$4:$K$231)</f>
        <v>22</v>
      </c>
      <c r="X15" s="12">
        <f>+IFERROR(LOG(V15),0)</f>
        <v>0</v>
      </c>
      <c r="Y15" s="12">
        <f>+IFERROR(LOG(W15),0)</f>
        <v>1.3424226808222062</v>
      </c>
    </row>
    <row r="16" spans="1:25" x14ac:dyDescent="0.25">
      <c r="A16" t="s">
        <v>40</v>
      </c>
      <c r="B16">
        <v>14</v>
      </c>
      <c r="J16" t="s">
        <v>291</v>
      </c>
      <c r="K16">
        <v>22</v>
      </c>
      <c r="N16" t="s">
        <v>285</v>
      </c>
      <c r="O16">
        <f>+SUMIF($A$4:$A$208,N16,$B$4:$B$208)</f>
        <v>60</v>
      </c>
      <c r="P16">
        <f>+SUMIF($D$4:$D$231,N16,$E$4:$E$231)</f>
        <v>0</v>
      </c>
      <c r="Q16" s="12">
        <f>+IFERROR(LOG(O16),0)</f>
        <v>1.7781512503836436</v>
      </c>
      <c r="R16" s="12">
        <f>+IFERROR(LOG(P16),0)</f>
        <v>0</v>
      </c>
      <c r="U16" t="s">
        <v>291</v>
      </c>
      <c r="V16">
        <f>+SUMIF($G$4:$G$208,U16,$H$4:$H$208)</f>
        <v>0</v>
      </c>
      <c r="W16">
        <f>+SUMIF($J$4:$J$231,U16,$K$4:$K$231)</f>
        <v>22</v>
      </c>
      <c r="X16" s="12">
        <f>+IFERROR(LOG(V16),0)</f>
        <v>0</v>
      </c>
      <c r="Y16" s="12">
        <f>+IFERROR(LOG(W16),0)</f>
        <v>1.3424226808222062</v>
      </c>
    </row>
    <row r="17" spans="1:25" x14ac:dyDescent="0.25">
      <c r="A17" t="s">
        <v>27</v>
      </c>
      <c r="B17">
        <v>13</v>
      </c>
      <c r="J17" t="s">
        <v>40</v>
      </c>
      <c r="K17">
        <v>21</v>
      </c>
      <c r="N17" t="s">
        <v>286</v>
      </c>
      <c r="O17">
        <f>+SUMIF($A$4:$A$208,N17,$B$4:$B$208)</f>
        <v>40</v>
      </c>
      <c r="P17">
        <f>+SUMIF($D$4:$D$231,N17,$E$4:$E$231)</f>
        <v>0</v>
      </c>
      <c r="Q17" s="12">
        <f>+IFERROR(LOG(O17),0)</f>
        <v>1.6020599913279623</v>
      </c>
      <c r="R17" s="12">
        <f>+IFERROR(LOG(P17),0)</f>
        <v>0</v>
      </c>
      <c r="U17" t="s">
        <v>40</v>
      </c>
      <c r="V17">
        <f>+SUMIF($G$4:$G$208,U17,$H$4:$H$208)</f>
        <v>0</v>
      </c>
      <c r="W17">
        <f>+SUMIF($J$4:$J$231,U17,$K$4:$K$231)</f>
        <v>21</v>
      </c>
      <c r="X17" s="12">
        <f>+IFERROR(LOG(V17),0)</f>
        <v>0</v>
      </c>
      <c r="Y17" s="12">
        <f>+IFERROR(LOG(W17),0)</f>
        <v>1.3222192947339193</v>
      </c>
    </row>
    <row r="18" spans="1:25" x14ac:dyDescent="0.25">
      <c r="A18" t="s">
        <v>34</v>
      </c>
      <c r="B18">
        <v>12</v>
      </c>
      <c r="J18" t="s">
        <v>288</v>
      </c>
      <c r="K18">
        <v>21</v>
      </c>
      <c r="N18" t="s">
        <v>42</v>
      </c>
      <c r="O18">
        <f>+SUMIF($A$4:$A$208,N18,$B$4:$B$208)</f>
        <v>28</v>
      </c>
      <c r="P18">
        <f>+SUMIF($D$4:$D$231,N18,$E$4:$E$231)</f>
        <v>0</v>
      </c>
      <c r="Q18" s="12">
        <f>+IFERROR(LOG(O18),0)</f>
        <v>1.4471580313422192</v>
      </c>
      <c r="R18" s="12">
        <f>+IFERROR(LOG(P18),0)</f>
        <v>0</v>
      </c>
      <c r="U18" t="s">
        <v>288</v>
      </c>
      <c r="V18">
        <f>+SUMIF($G$4:$G$208,U18,$H$4:$H$208)</f>
        <v>0</v>
      </c>
      <c r="W18">
        <f>+SUMIF($J$4:$J$231,U18,$K$4:$K$231)</f>
        <v>21</v>
      </c>
      <c r="X18" s="12">
        <f>+IFERROR(LOG(V18),0)</f>
        <v>0</v>
      </c>
      <c r="Y18" s="12">
        <f>+IFERROR(LOG(W18),0)</f>
        <v>1.3222192947339193</v>
      </c>
    </row>
    <row r="19" spans="1:25" x14ac:dyDescent="0.25">
      <c r="A19" t="s">
        <v>293</v>
      </c>
      <c r="B19">
        <v>12</v>
      </c>
      <c r="J19" t="s">
        <v>311</v>
      </c>
      <c r="K19">
        <v>20</v>
      </c>
      <c r="N19" t="s">
        <v>287</v>
      </c>
      <c r="O19">
        <f>+SUMIF($A$4:$A$208,N19,$B$4:$B$208)</f>
        <v>25</v>
      </c>
      <c r="P19">
        <f>+SUMIF($D$4:$D$231,N19,$E$4:$E$231)</f>
        <v>0</v>
      </c>
      <c r="Q19" s="12">
        <f>+IFERROR(LOG(O19),0)</f>
        <v>1.3979400086720377</v>
      </c>
      <c r="R19" s="12">
        <f>+IFERROR(LOG(P19),0)</f>
        <v>0</v>
      </c>
      <c r="U19" t="s">
        <v>311</v>
      </c>
      <c r="V19">
        <f>+SUMIF($G$4:$G$208,U19,$H$4:$H$208)</f>
        <v>0</v>
      </c>
      <c r="W19">
        <f>+SUMIF($J$4:$J$231,U19,$K$4:$K$231)</f>
        <v>20</v>
      </c>
      <c r="X19" s="12">
        <f>+IFERROR(LOG(V19),0)</f>
        <v>0</v>
      </c>
      <c r="Y19" s="12">
        <f>+IFERROR(LOG(W19),0)</f>
        <v>1.3010299956639813</v>
      </c>
    </row>
    <row r="20" spans="1:25" x14ac:dyDescent="0.25">
      <c r="A20" t="s">
        <v>294</v>
      </c>
      <c r="B20">
        <v>9</v>
      </c>
      <c r="J20" t="s">
        <v>316</v>
      </c>
      <c r="K20">
        <v>19</v>
      </c>
      <c r="N20" t="s">
        <v>44</v>
      </c>
      <c r="O20">
        <f>+SUMIF($A$4:$A$208,N20,$B$4:$B$208)</f>
        <v>25</v>
      </c>
      <c r="P20">
        <f>+SUMIF($D$4:$D$231,N20,$E$4:$E$231)</f>
        <v>0</v>
      </c>
      <c r="Q20" s="12">
        <f>+IFERROR(LOG(O20),0)</f>
        <v>1.3979400086720377</v>
      </c>
      <c r="R20" s="12">
        <f>+IFERROR(LOG(P20),0)</f>
        <v>0</v>
      </c>
      <c r="U20" t="s">
        <v>316</v>
      </c>
      <c r="V20">
        <f>+SUMIF($G$4:$G$208,U20,$H$4:$H$208)</f>
        <v>0</v>
      </c>
      <c r="W20">
        <f>+SUMIF($J$4:$J$231,U20,$K$4:$K$231)</f>
        <v>19</v>
      </c>
      <c r="X20" s="12">
        <f>+IFERROR(LOG(V20),0)</f>
        <v>0</v>
      </c>
      <c r="Y20" s="12">
        <f>+IFERROR(LOG(W20),0)</f>
        <v>1.2787536009528289</v>
      </c>
    </row>
    <row r="21" spans="1:25" x14ac:dyDescent="0.25">
      <c r="A21" t="s">
        <v>295</v>
      </c>
      <c r="B21">
        <v>7</v>
      </c>
      <c r="J21" t="s">
        <v>27</v>
      </c>
      <c r="K21">
        <v>13</v>
      </c>
      <c r="N21" t="s">
        <v>288</v>
      </c>
      <c r="O21">
        <f>+SUMIF($A$4:$A$208,N21,$B$4:$B$208)</f>
        <v>23</v>
      </c>
      <c r="P21">
        <f>+SUMIF($D$4:$D$231,N21,$E$4:$E$231)</f>
        <v>0</v>
      </c>
      <c r="Q21" s="12">
        <f>+IFERROR(LOG(O21),0)</f>
        <v>1.3617278360175928</v>
      </c>
      <c r="R21" s="12">
        <f>+IFERROR(LOG(P21),0)</f>
        <v>0</v>
      </c>
      <c r="U21" t="s">
        <v>27</v>
      </c>
      <c r="V21">
        <f>+SUMIF($G$4:$G$208,U21,$H$4:$H$208)</f>
        <v>0</v>
      </c>
      <c r="W21">
        <f>+SUMIF($J$4:$J$231,U21,$K$4:$K$231)</f>
        <v>13</v>
      </c>
      <c r="X21" s="12">
        <f>+IFERROR(LOG(V21),0)</f>
        <v>0</v>
      </c>
      <c r="Y21" s="12">
        <f>+IFERROR(LOG(W21),0)</f>
        <v>1.1139433523068367</v>
      </c>
    </row>
    <row r="22" spans="1:25" x14ac:dyDescent="0.25">
      <c r="A22" t="s">
        <v>296</v>
      </c>
      <c r="B22">
        <v>7</v>
      </c>
      <c r="J22" t="s">
        <v>293</v>
      </c>
      <c r="K22">
        <v>12</v>
      </c>
      <c r="N22" t="s">
        <v>289</v>
      </c>
      <c r="O22">
        <f>+SUMIF($A$4:$A$208,N22,$B$4:$B$208)</f>
        <v>22</v>
      </c>
      <c r="P22">
        <f>+SUMIF($D$4:$D$231,N22,$E$4:$E$231)</f>
        <v>0</v>
      </c>
      <c r="Q22" s="12">
        <f>+IFERROR(LOG(O22),0)</f>
        <v>1.3424226808222062</v>
      </c>
      <c r="R22" s="12">
        <f>+IFERROR(LOG(P22),0)</f>
        <v>0</v>
      </c>
      <c r="U22" t="s">
        <v>293</v>
      </c>
      <c r="V22">
        <f>+SUMIF($G$4:$G$208,U22,$H$4:$H$208)</f>
        <v>0</v>
      </c>
      <c r="W22">
        <f>+SUMIF($J$4:$J$231,U22,$K$4:$K$231)</f>
        <v>12</v>
      </c>
      <c r="X22" s="12">
        <f>+IFERROR(LOG(V22),0)</f>
        <v>0</v>
      </c>
      <c r="Y22" s="12">
        <f>+IFERROR(LOG(W22),0)</f>
        <v>1.0791812460476249</v>
      </c>
    </row>
    <row r="23" spans="1:25" x14ac:dyDescent="0.25">
      <c r="A23" t="s">
        <v>297</v>
      </c>
      <c r="B23">
        <v>7</v>
      </c>
      <c r="J23" t="s">
        <v>34</v>
      </c>
      <c r="K23">
        <v>11</v>
      </c>
      <c r="N23" t="s">
        <v>290</v>
      </c>
      <c r="O23">
        <f>+SUMIF($A$4:$A$208,N23,$B$4:$B$208)</f>
        <v>21</v>
      </c>
      <c r="P23">
        <f>+SUMIF($D$4:$D$231,N23,$E$4:$E$231)</f>
        <v>0</v>
      </c>
      <c r="Q23" s="12">
        <f>+IFERROR(LOG(O23),0)</f>
        <v>1.3222192947339193</v>
      </c>
      <c r="R23" s="12">
        <f>+IFERROR(LOG(P23),0)</f>
        <v>0</v>
      </c>
      <c r="U23" t="s">
        <v>34</v>
      </c>
      <c r="V23">
        <f>+SUMIF($G$4:$G$208,U23,$H$4:$H$208)</f>
        <v>0</v>
      </c>
      <c r="W23">
        <f>+SUMIF($J$4:$J$231,U23,$K$4:$K$231)</f>
        <v>11</v>
      </c>
      <c r="X23" s="12">
        <f>+IFERROR(LOG(V23),0)</f>
        <v>0</v>
      </c>
      <c r="Y23" s="12">
        <f>+IFERROR(LOG(W23),0)</f>
        <v>1.0413926851582251</v>
      </c>
    </row>
    <row r="24" spans="1:25" x14ac:dyDescent="0.25">
      <c r="A24" t="s">
        <v>298</v>
      </c>
      <c r="B24">
        <v>6</v>
      </c>
      <c r="J24" t="s">
        <v>23</v>
      </c>
      <c r="K24">
        <v>11</v>
      </c>
      <c r="N24" t="s">
        <v>43</v>
      </c>
      <c r="O24">
        <f>+SUMIF($A$4:$A$208,N24,$B$4:$B$208)</f>
        <v>18</v>
      </c>
      <c r="P24">
        <f>+SUMIF($D$4:$D$231,N24,$E$4:$E$231)</f>
        <v>0</v>
      </c>
      <c r="Q24" s="12">
        <f>+IFERROR(LOG(O24),0)</f>
        <v>1.255272505103306</v>
      </c>
      <c r="R24" s="12">
        <f>+IFERROR(LOG(P24),0)</f>
        <v>0</v>
      </c>
      <c r="U24" t="s">
        <v>23</v>
      </c>
      <c r="V24">
        <f>+SUMIF($G$4:$G$208,U24,$H$4:$H$208)</f>
        <v>0</v>
      </c>
      <c r="W24">
        <f>+SUMIF($J$4:$J$231,U24,$K$4:$K$231)</f>
        <v>11</v>
      </c>
      <c r="X24" s="12">
        <f>+IFERROR(LOG(V24),0)</f>
        <v>0</v>
      </c>
      <c r="Y24" s="12">
        <f>+IFERROR(LOG(W24),0)</f>
        <v>1.0413926851582251</v>
      </c>
    </row>
    <row r="25" spans="1:25" x14ac:dyDescent="0.25">
      <c r="A25" t="s">
        <v>299</v>
      </c>
      <c r="B25">
        <v>6</v>
      </c>
      <c r="J25" t="s">
        <v>312</v>
      </c>
      <c r="K25">
        <v>11</v>
      </c>
      <c r="N25" t="s">
        <v>291</v>
      </c>
      <c r="O25">
        <f>+SUMIF($A$4:$A$208,N25,$B$4:$B$208)</f>
        <v>17</v>
      </c>
      <c r="P25">
        <f>+SUMIF($D$4:$D$231,N25,$E$4:$E$231)</f>
        <v>0</v>
      </c>
      <c r="Q25" s="12">
        <f>+IFERROR(LOG(O25),0)</f>
        <v>1.2304489213782739</v>
      </c>
      <c r="R25" s="12">
        <f>+IFERROR(LOG(P25),0)</f>
        <v>0</v>
      </c>
      <c r="U25" t="s">
        <v>312</v>
      </c>
      <c r="V25">
        <f>+SUMIF($G$4:$G$208,U25,$H$4:$H$208)</f>
        <v>0</v>
      </c>
      <c r="W25">
        <f>+SUMIF($J$4:$J$231,U25,$K$4:$K$231)</f>
        <v>11</v>
      </c>
      <c r="X25" s="12">
        <f>+IFERROR(LOG(V25),0)</f>
        <v>0</v>
      </c>
      <c r="Y25" s="12">
        <f>+IFERROR(LOG(W25),0)</f>
        <v>1.0413926851582251</v>
      </c>
    </row>
    <row r="26" spans="1:25" x14ac:dyDescent="0.25">
      <c r="A26" t="s">
        <v>300</v>
      </c>
      <c r="B26">
        <v>5</v>
      </c>
      <c r="J26" t="s">
        <v>328</v>
      </c>
      <c r="K26">
        <v>10</v>
      </c>
      <c r="N26" t="s">
        <v>292</v>
      </c>
      <c r="O26">
        <f>+SUMIF($A$4:$A$208,N26,$B$4:$B$208)</f>
        <v>16</v>
      </c>
      <c r="P26">
        <f>+SUMIF($D$4:$D$231,N26,$E$4:$E$231)</f>
        <v>0</v>
      </c>
      <c r="Q26" s="12">
        <f>+IFERROR(LOG(O26),0)</f>
        <v>1.2041199826559248</v>
      </c>
      <c r="R26" s="12">
        <f>+IFERROR(LOG(P26),0)</f>
        <v>0</v>
      </c>
      <c r="U26" t="s">
        <v>328</v>
      </c>
      <c r="V26">
        <f>+SUMIF($G$4:$G$208,U26,$H$4:$H$208)</f>
        <v>0</v>
      </c>
      <c r="W26">
        <f>+SUMIF($J$4:$J$231,U26,$K$4:$K$231)</f>
        <v>10</v>
      </c>
      <c r="X26" s="12">
        <f>+IFERROR(LOG(V26),0)</f>
        <v>0</v>
      </c>
      <c r="Y26" s="12">
        <f>+IFERROR(LOG(W26),0)</f>
        <v>1</v>
      </c>
    </row>
    <row r="27" spans="1:25" x14ac:dyDescent="0.25">
      <c r="A27" t="s">
        <v>24</v>
      </c>
      <c r="B27">
        <v>5</v>
      </c>
      <c r="J27" t="s">
        <v>294</v>
      </c>
      <c r="K27">
        <v>10</v>
      </c>
      <c r="N27" t="s">
        <v>40</v>
      </c>
      <c r="O27">
        <f>+SUMIF($A$4:$A$208,N27,$B$4:$B$208)</f>
        <v>14</v>
      </c>
      <c r="P27">
        <f>+SUMIF($D$4:$D$231,N27,$E$4:$E$231)</f>
        <v>0</v>
      </c>
      <c r="Q27" s="12">
        <f>+IFERROR(LOG(O27),0)</f>
        <v>1.146128035678238</v>
      </c>
      <c r="R27" s="12">
        <f>+IFERROR(LOG(P27),0)</f>
        <v>0</v>
      </c>
      <c r="U27" t="s">
        <v>294</v>
      </c>
      <c r="V27">
        <f>+SUMIF($G$4:$G$208,U27,$H$4:$H$208)</f>
        <v>0</v>
      </c>
      <c r="W27">
        <f>+SUMIF($J$4:$J$231,U27,$K$4:$K$231)</f>
        <v>10</v>
      </c>
      <c r="X27" s="12">
        <f>+IFERROR(LOG(V27),0)</f>
        <v>0</v>
      </c>
      <c r="Y27" s="12">
        <f>+IFERROR(LOG(W27),0)</f>
        <v>1</v>
      </c>
    </row>
    <row r="28" spans="1:25" x14ac:dyDescent="0.25">
      <c r="A28" t="s">
        <v>301</v>
      </c>
      <c r="B28">
        <v>5</v>
      </c>
      <c r="J28" t="s">
        <v>329</v>
      </c>
      <c r="K28">
        <v>9</v>
      </c>
      <c r="N28" t="s">
        <v>27</v>
      </c>
      <c r="O28">
        <f>+SUMIF($A$4:$A$208,N28,$B$4:$B$208)</f>
        <v>13</v>
      </c>
      <c r="P28">
        <f>+SUMIF($D$4:$D$231,N28,$E$4:$E$231)</f>
        <v>0</v>
      </c>
      <c r="Q28" s="12">
        <f>+IFERROR(LOG(O28),0)</f>
        <v>1.1139433523068367</v>
      </c>
      <c r="R28" s="12">
        <f>+IFERROR(LOG(P28),0)</f>
        <v>0</v>
      </c>
      <c r="U28" t="s">
        <v>329</v>
      </c>
      <c r="V28">
        <f>+SUMIF($G$4:$G$208,U28,$H$4:$H$208)</f>
        <v>0</v>
      </c>
      <c r="W28">
        <f>+SUMIF($J$4:$J$231,U28,$K$4:$K$231)</f>
        <v>9</v>
      </c>
      <c r="X28" s="12">
        <f>+IFERROR(LOG(V28),0)</f>
        <v>0</v>
      </c>
      <c r="Y28" s="12">
        <f>+IFERROR(LOG(W28),0)</f>
        <v>0.95424250943932487</v>
      </c>
    </row>
    <row r="29" spans="1:25" x14ac:dyDescent="0.25">
      <c r="A29" t="s">
        <v>302</v>
      </c>
      <c r="B29">
        <v>5</v>
      </c>
      <c r="J29" t="s">
        <v>62</v>
      </c>
      <c r="K29">
        <v>8</v>
      </c>
      <c r="N29" t="s">
        <v>34</v>
      </c>
      <c r="O29">
        <f>+SUMIF($A$4:$A$208,N29,$B$4:$B$208)</f>
        <v>12</v>
      </c>
      <c r="P29">
        <f>+SUMIF($D$4:$D$231,N29,$E$4:$E$231)</f>
        <v>0</v>
      </c>
      <c r="Q29" s="12">
        <f>+IFERROR(LOG(O29),0)</f>
        <v>1.0791812460476249</v>
      </c>
      <c r="R29" s="12">
        <f>+IFERROR(LOG(P29),0)</f>
        <v>0</v>
      </c>
      <c r="U29" t="s">
        <v>62</v>
      </c>
      <c r="V29">
        <f>+SUMIF($G$4:$G$208,U29,$H$4:$H$208)</f>
        <v>0</v>
      </c>
      <c r="W29">
        <f>+SUMIF($J$4:$J$231,U29,$K$4:$K$231)</f>
        <v>8</v>
      </c>
      <c r="X29" s="12">
        <f>+IFERROR(LOG(V29),0)</f>
        <v>0</v>
      </c>
      <c r="Y29" s="12">
        <f>+IFERROR(LOG(W29),0)</f>
        <v>0.90308998699194354</v>
      </c>
    </row>
    <row r="30" spans="1:25" x14ac:dyDescent="0.25">
      <c r="A30" t="s">
        <v>303</v>
      </c>
      <c r="B30">
        <v>3</v>
      </c>
      <c r="J30" t="s">
        <v>301</v>
      </c>
      <c r="K30">
        <v>8</v>
      </c>
      <c r="N30" t="s">
        <v>293</v>
      </c>
      <c r="O30">
        <f>+SUMIF($A$4:$A$208,N30,$B$4:$B$208)</f>
        <v>12</v>
      </c>
      <c r="P30">
        <f>+SUMIF($D$4:$D$231,N30,$E$4:$E$231)</f>
        <v>0</v>
      </c>
      <c r="Q30" s="12">
        <f>+IFERROR(LOG(O30),0)</f>
        <v>1.0791812460476249</v>
      </c>
      <c r="R30" s="12">
        <f>+IFERROR(LOG(P30),0)</f>
        <v>0</v>
      </c>
      <c r="U30" t="s">
        <v>301</v>
      </c>
      <c r="V30">
        <f>+SUMIF($G$4:$G$208,U30,$H$4:$H$208)</f>
        <v>0</v>
      </c>
      <c r="W30">
        <f>+SUMIF($J$4:$J$231,U30,$K$4:$K$231)</f>
        <v>8</v>
      </c>
      <c r="X30" s="12">
        <f>+IFERROR(LOG(V30),0)</f>
        <v>0</v>
      </c>
      <c r="Y30" s="12">
        <f>+IFERROR(LOG(W30),0)</f>
        <v>0.90308998699194354</v>
      </c>
    </row>
    <row r="31" spans="1:25" x14ac:dyDescent="0.25">
      <c r="A31" t="s">
        <v>304</v>
      </c>
      <c r="B31">
        <v>3</v>
      </c>
      <c r="J31" t="s">
        <v>330</v>
      </c>
      <c r="K31">
        <v>8</v>
      </c>
      <c r="Q31" s="12"/>
      <c r="R31" s="12"/>
      <c r="U31" t="s">
        <v>330</v>
      </c>
      <c r="V31">
        <f>+SUMIF($G$4:$G$208,U31,$H$4:$H$208)</f>
        <v>0</v>
      </c>
      <c r="W31">
        <f>+SUMIF($J$4:$J$231,U31,$K$4:$K$231)</f>
        <v>8</v>
      </c>
      <c r="X31" s="12">
        <f>+IFERROR(LOG(V31),0)</f>
        <v>0</v>
      </c>
      <c r="Y31" s="12">
        <f>+IFERROR(LOG(W31),0)</f>
        <v>0.90308998699194354</v>
      </c>
    </row>
    <row r="32" spans="1:25" x14ac:dyDescent="0.25">
      <c r="A32" t="s">
        <v>305</v>
      </c>
      <c r="B32">
        <v>3</v>
      </c>
      <c r="J32" t="s">
        <v>37</v>
      </c>
      <c r="K32">
        <v>8</v>
      </c>
      <c r="Q32" s="12"/>
      <c r="R32" s="12"/>
      <c r="U32" t="s">
        <v>37</v>
      </c>
      <c r="V32">
        <f>+SUMIF($G$4:$G$208,U32,$H$4:$H$208)</f>
        <v>0</v>
      </c>
      <c r="W32">
        <f>+SUMIF($J$4:$J$231,U32,$K$4:$K$231)</f>
        <v>8</v>
      </c>
      <c r="X32" s="12">
        <f>+IFERROR(LOG(V32),0)</f>
        <v>0</v>
      </c>
      <c r="Y32" s="12">
        <f>+IFERROR(LOG(W32),0)</f>
        <v>0.90308998699194354</v>
      </c>
    </row>
    <row r="33" spans="1:25" x14ac:dyDescent="0.25">
      <c r="A33" t="s">
        <v>61</v>
      </c>
      <c r="B33">
        <v>3</v>
      </c>
      <c r="J33" t="s">
        <v>32</v>
      </c>
      <c r="K33">
        <v>7</v>
      </c>
      <c r="Q33" s="12"/>
      <c r="R33" s="12"/>
      <c r="U33" t="s">
        <v>36</v>
      </c>
      <c r="V33">
        <f>+SUMIF($G$4:$G$208,U33,$H$4:$H$208)</f>
        <v>731</v>
      </c>
      <c r="W33">
        <f>+SUMIF($J$4:$J$231,U33,$K$4:$K$231)</f>
        <v>0</v>
      </c>
      <c r="X33" s="12">
        <f>+IFERROR(LOG(V33),0)</f>
        <v>2.8639173769578603</v>
      </c>
      <c r="Y33" s="12">
        <f>+IFERROR(LOG(W33),0)</f>
        <v>0</v>
      </c>
    </row>
    <row r="34" spans="1:25" x14ac:dyDescent="0.25">
      <c r="A34" t="s">
        <v>306</v>
      </c>
      <c r="B34">
        <v>3</v>
      </c>
      <c r="J34" t="s">
        <v>296</v>
      </c>
      <c r="K34">
        <v>7</v>
      </c>
      <c r="Q34" s="12"/>
      <c r="R34" s="12"/>
      <c r="U34" t="s">
        <v>322</v>
      </c>
      <c r="V34">
        <f>+SUMIF($G$4:$G$208,U34,$H$4:$H$208)</f>
        <v>43</v>
      </c>
      <c r="W34">
        <f>+SUMIF($J$4:$J$231,U34,$K$4:$K$231)</f>
        <v>0</v>
      </c>
      <c r="X34" s="12">
        <f>+IFERROR(LOG(V34),0)</f>
        <v>1.6334684555795864</v>
      </c>
      <c r="Y34" s="12">
        <f>+IFERROR(LOG(W34),0)</f>
        <v>0</v>
      </c>
    </row>
    <row r="35" spans="1:25" x14ac:dyDescent="0.25">
      <c r="A35" t="s">
        <v>26</v>
      </c>
      <c r="B35">
        <v>3</v>
      </c>
      <c r="J35" t="s">
        <v>297</v>
      </c>
      <c r="K35">
        <v>7</v>
      </c>
      <c r="Q35" s="12"/>
      <c r="R35" s="12"/>
      <c r="U35" t="s">
        <v>33</v>
      </c>
      <c r="V35">
        <f>+SUMIF($G$4:$G$208,U35,$H$4:$H$208)</f>
        <v>22</v>
      </c>
      <c r="W35">
        <f>+SUMIF($J$4:$J$231,U35,$K$4:$K$231)</f>
        <v>0</v>
      </c>
      <c r="X35" s="12">
        <f>+IFERROR(LOG(V35),0)</f>
        <v>1.3424226808222062</v>
      </c>
      <c r="Y35" s="12">
        <f>+IFERROR(LOG(W35),0)</f>
        <v>0</v>
      </c>
    </row>
    <row r="36" spans="1:25" x14ac:dyDescent="0.25">
      <c r="A36" t="s">
        <v>307</v>
      </c>
      <c r="B36">
        <v>3</v>
      </c>
      <c r="J36" t="s">
        <v>284</v>
      </c>
      <c r="K36">
        <v>6</v>
      </c>
      <c r="Q36" s="12"/>
      <c r="R36" s="12"/>
      <c r="U36" s="10" t="s">
        <v>326</v>
      </c>
      <c r="V36">
        <f>+SUMIF($G$4:$G$208,U36,$H$4:$H$208)</f>
        <v>3</v>
      </c>
      <c r="W36">
        <f>+SUMIF($J$4:$J$231,U36,$K$4:$K$231)</f>
        <v>0</v>
      </c>
      <c r="X36" s="12">
        <f>+IFERROR(LOG(V36),0)</f>
        <v>0.47712125471966244</v>
      </c>
      <c r="Y36" s="12">
        <f>+IFERROR(LOG(W36),0)</f>
        <v>0</v>
      </c>
    </row>
    <row r="37" spans="1:25" x14ac:dyDescent="0.25">
      <c r="A37" t="s">
        <v>308</v>
      </c>
      <c r="B37">
        <v>3</v>
      </c>
      <c r="J37" t="s">
        <v>298</v>
      </c>
      <c r="K37">
        <v>6</v>
      </c>
      <c r="Q37" s="12"/>
      <c r="R37" s="12"/>
      <c r="X37" s="12"/>
      <c r="Y37" s="12"/>
    </row>
    <row r="38" spans="1:25" x14ac:dyDescent="0.25">
      <c r="A38" t="s">
        <v>309</v>
      </c>
      <c r="B38">
        <v>2</v>
      </c>
      <c r="J38" t="s">
        <v>303</v>
      </c>
      <c r="K38">
        <v>6</v>
      </c>
      <c r="Q38" s="12"/>
      <c r="R38" s="12"/>
      <c r="X38" s="12"/>
      <c r="Y38" s="12"/>
    </row>
    <row r="39" spans="1:25" x14ac:dyDescent="0.25">
      <c r="A39" t="s">
        <v>310</v>
      </c>
      <c r="B39">
        <v>2</v>
      </c>
      <c r="J39" t="s">
        <v>302</v>
      </c>
      <c r="K39">
        <v>6</v>
      </c>
      <c r="Q39" s="12"/>
      <c r="R39" s="12"/>
      <c r="X39" s="12"/>
      <c r="Y39" s="12"/>
    </row>
    <row r="40" spans="1:25" x14ac:dyDescent="0.25">
      <c r="A40" t="s">
        <v>311</v>
      </c>
      <c r="B40">
        <v>2</v>
      </c>
      <c r="J40" s="10" t="s">
        <v>331</v>
      </c>
      <c r="K40">
        <v>5</v>
      </c>
      <c r="Q40" s="12"/>
      <c r="R40" s="12"/>
      <c r="U40" s="10"/>
      <c r="X40" s="12"/>
      <c r="Y40" s="12"/>
    </row>
    <row r="41" spans="1:25" x14ac:dyDescent="0.25">
      <c r="A41" t="s">
        <v>63</v>
      </c>
      <c r="B41">
        <v>2</v>
      </c>
      <c r="J41" t="s">
        <v>332</v>
      </c>
      <c r="K41">
        <v>5</v>
      </c>
      <c r="Q41" s="12"/>
      <c r="R41" s="12"/>
      <c r="X41" s="12"/>
      <c r="Y41" s="12"/>
    </row>
    <row r="42" spans="1:25" x14ac:dyDescent="0.25">
      <c r="A42" t="s">
        <v>35</v>
      </c>
      <c r="B42">
        <v>2</v>
      </c>
      <c r="J42" t="s">
        <v>60</v>
      </c>
      <c r="K42">
        <v>5</v>
      </c>
      <c r="Q42" s="12"/>
      <c r="R42" s="12"/>
      <c r="X42" s="12"/>
      <c r="Y42" s="12"/>
    </row>
    <row r="43" spans="1:25" x14ac:dyDescent="0.25">
      <c r="A43" t="s">
        <v>20</v>
      </c>
      <c r="B43">
        <v>2</v>
      </c>
      <c r="J43" t="s">
        <v>64</v>
      </c>
      <c r="K43">
        <v>5</v>
      </c>
      <c r="Q43" s="12"/>
      <c r="R43" s="12"/>
      <c r="X43" s="12"/>
      <c r="Y43" s="12"/>
    </row>
    <row r="44" spans="1:25" x14ac:dyDescent="0.25">
      <c r="A44" t="s">
        <v>312</v>
      </c>
      <c r="B44">
        <v>2</v>
      </c>
      <c r="J44" t="s">
        <v>317</v>
      </c>
      <c r="K44">
        <v>5</v>
      </c>
      <c r="Q44" s="12"/>
      <c r="R44" s="12"/>
      <c r="X44" s="12"/>
      <c r="Y44" s="12"/>
    </row>
    <row r="45" spans="1:25" x14ac:dyDescent="0.25">
      <c r="A45" t="s">
        <v>313</v>
      </c>
      <c r="B45">
        <v>1</v>
      </c>
      <c r="J45" t="s">
        <v>309</v>
      </c>
      <c r="K45">
        <v>4</v>
      </c>
      <c r="Q45" s="12"/>
      <c r="R45" s="12"/>
      <c r="X45" s="12"/>
      <c r="Y45" s="12"/>
    </row>
    <row r="46" spans="1:25" x14ac:dyDescent="0.25">
      <c r="A46" t="s">
        <v>64</v>
      </c>
      <c r="B46">
        <v>1</v>
      </c>
      <c r="J46" t="s">
        <v>24</v>
      </c>
      <c r="K46">
        <v>4</v>
      </c>
      <c r="Q46" s="12"/>
      <c r="R46" s="12"/>
      <c r="X46" s="12"/>
      <c r="Y46" s="12"/>
    </row>
    <row r="47" spans="1:25" x14ac:dyDescent="0.25">
      <c r="A47" t="s">
        <v>39</v>
      </c>
      <c r="B47">
        <v>1</v>
      </c>
      <c r="J47" t="s">
        <v>41</v>
      </c>
      <c r="K47">
        <v>4</v>
      </c>
      <c r="Q47" s="12"/>
      <c r="R47" s="12"/>
      <c r="X47" s="12"/>
      <c r="Y47" s="12"/>
    </row>
    <row r="48" spans="1:25" x14ac:dyDescent="0.25">
      <c r="A48" t="s">
        <v>28</v>
      </c>
      <c r="B48">
        <v>1</v>
      </c>
      <c r="J48" t="s">
        <v>333</v>
      </c>
      <c r="K48">
        <v>3</v>
      </c>
      <c r="Q48" s="12"/>
      <c r="R48" s="12"/>
      <c r="X48" s="12"/>
      <c r="Y48" s="12"/>
    </row>
    <row r="49" spans="1:25" x14ac:dyDescent="0.25">
      <c r="A49" t="s">
        <v>21</v>
      </c>
      <c r="B49">
        <v>1</v>
      </c>
      <c r="J49" t="s">
        <v>334</v>
      </c>
      <c r="K49">
        <v>3</v>
      </c>
      <c r="Q49" s="12"/>
      <c r="R49" s="12"/>
      <c r="X49" s="12"/>
      <c r="Y49" s="12"/>
    </row>
    <row r="50" spans="1:25" x14ac:dyDescent="0.25">
      <c r="A50" t="s">
        <v>314</v>
      </c>
      <c r="B50">
        <v>1</v>
      </c>
      <c r="J50" t="s">
        <v>306</v>
      </c>
      <c r="K50">
        <v>3</v>
      </c>
      <c r="Q50" s="12"/>
      <c r="R50" s="12"/>
      <c r="X50" s="12"/>
      <c r="Y50" s="12"/>
    </row>
    <row r="51" spans="1:25" x14ac:dyDescent="0.25">
      <c r="A51" t="s">
        <v>315</v>
      </c>
      <c r="B51">
        <v>1</v>
      </c>
      <c r="J51" t="s">
        <v>335</v>
      </c>
      <c r="K51">
        <v>3</v>
      </c>
      <c r="Q51" s="12"/>
      <c r="R51" s="12"/>
      <c r="X51" s="12"/>
      <c r="Y51" s="12"/>
    </row>
    <row r="52" spans="1:25" x14ac:dyDescent="0.25">
      <c r="A52" t="s">
        <v>316</v>
      </c>
      <c r="B52">
        <v>1</v>
      </c>
      <c r="J52" t="s">
        <v>336</v>
      </c>
      <c r="K52">
        <v>2</v>
      </c>
      <c r="Q52" s="12"/>
      <c r="R52" s="12"/>
      <c r="X52" s="12"/>
      <c r="Y52" s="12"/>
    </row>
    <row r="53" spans="1:25" x14ac:dyDescent="0.25">
      <c r="A53" t="s">
        <v>317</v>
      </c>
      <c r="B53">
        <v>1</v>
      </c>
      <c r="J53" t="s">
        <v>26</v>
      </c>
      <c r="K53">
        <v>2</v>
      </c>
      <c r="Q53" s="12"/>
      <c r="R53" s="12"/>
      <c r="X53" s="12"/>
      <c r="Y53" s="12"/>
    </row>
    <row r="54" spans="1:25" x14ac:dyDescent="0.25">
      <c r="A54" t="s">
        <v>32</v>
      </c>
      <c r="B54">
        <v>1</v>
      </c>
      <c r="J54" t="s">
        <v>337</v>
      </c>
      <c r="K54">
        <v>2</v>
      </c>
      <c r="Q54" s="12"/>
      <c r="R54" s="12"/>
      <c r="X54" s="12"/>
      <c r="Y54" s="12"/>
    </row>
    <row r="55" spans="1:25" x14ac:dyDescent="0.25">
      <c r="A55" t="s">
        <v>318</v>
      </c>
      <c r="B55">
        <v>1</v>
      </c>
      <c r="J55" t="s">
        <v>310</v>
      </c>
      <c r="K55">
        <v>2</v>
      </c>
      <c r="Q55" s="12"/>
      <c r="R55" s="12"/>
      <c r="X55" s="12"/>
      <c r="Y55" s="12"/>
    </row>
    <row r="56" spans="1:25" x14ac:dyDescent="0.25">
      <c r="J56" t="s">
        <v>304</v>
      </c>
      <c r="K56">
        <v>2</v>
      </c>
      <c r="Q56" s="12"/>
      <c r="R56" s="12"/>
      <c r="X56" s="12"/>
      <c r="Y56" s="12"/>
    </row>
    <row r="57" spans="1:25" x14ac:dyDescent="0.25">
      <c r="J57" t="s">
        <v>305</v>
      </c>
      <c r="K57">
        <v>2</v>
      </c>
      <c r="Q57" s="12"/>
      <c r="R57" s="12"/>
      <c r="X57" s="12"/>
      <c r="Y57" s="12"/>
    </row>
    <row r="58" spans="1:25" x14ac:dyDescent="0.25">
      <c r="J58" t="s">
        <v>19</v>
      </c>
      <c r="K58">
        <v>2</v>
      </c>
      <c r="Q58" s="12"/>
      <c r="R58" s="12"/>
      <c r="X58" s="12"/>
      <c r="Y58" s="12"/>
    </row>
    <row r="59" spans="1:25" x14ac:dyDescent="0.25">
      <c r="J59" t="s">
        <v>63</v>
      </c>
      <c r="K59">
        <v>2</v>
      </c>
      <c r="Q59" s="12"/>
      <c r="R59" s="12"/>
      <c r="X59" s="12"/>
      <c r="Y59" s="12"/>
    </row>
    <row r="60" spans="1:25" x14ac:dyDescent="0.25">
      <c r="J60" s="10" t="s">
        <v>25</v>
      </c>
      <c r="K60">
        <v>1</v>
      </c>
      <c r="Q60" s="12"/>
      <c r="R60" s="12"/>
      <c r="U60" s="10"/>
      <c r="X60" s="12"/>
      <c r="Y60" s="12"/>
    </row>
    <row r="61" spans="1:25" x14ac:dyDescent="0.25">
      <c r="J61" t="s">
        <v>338</v>
      </c>
      <c r="K61">
        <v>1</v>
      </c>
      <c r="Q61" s="12"/>
      <c r="R61" s="12"/>
      <c r="X61" s="12"/>
      <c r="Y61" s="12"/>
    </row>
    <row r="62" spans="1:25" x14ac:dyDescent="0.25">
      <c r="J62" t="s">
        <v>339</v>
      </c>
      <c r="K62">
        <v>1</v>
      </c>
      <c r="Q62" s="12"/>
      <c r="R62" s="12"/>
      <c r="X62" s="12"/>
      <c r="Y62" s="12"/>
    </row>
    <row r="63" spans="1:25" x14ac:dyDescent="0.25">
      <c r="J63" t="s">
        <v>20</v>
      </c>
      <c r="K63">
        <v>1</v>
      </c>
      <c r="Q63" s="12"/>
      <c r="R63" s="12"/>
      <c r="X63" s="12"/>
      <c r="Y63" s="12"/>
    </row>
    <row r="64" spans="1:25" x14ac:dyDescent="0.25">
      <c r="J64" t="s">
        <v>39</v>
      </c>
      <c r="K64">
        <v>1</v>
      </c>
      <c r="X64" s="12"/>
      <c r="Y64" s="12"/>
    </row>
    <row r="65" spans="10:25" x14ac:dyDescent="0.25">
      <c r="J65" t="s">
        <v>61</v>
      </c>
      <c r="K65">
        <v>1</v>
      </c>
      <c r="X65" s="12"/>
      <c r="Y65" s="12"/>
    </row>
    <row r="66" spans="10:25" x14ac:dyDescent="0.25">
      <c r="J66" t="s">
        <v>340</v>
      </c>
      <c r="K66">
        <v>1</v>
      </c>
      <c r="X66" s="12"/>
      <c r="Y66" s="12"/>
    </row>
    <row r="67" spans="10:25" x14ac:dyDescent="0.25">
      <c r="J67" t="s">
        <v>341</v>
      </c>
      <c r="K67">
        <v>1</v>
      </c>
      <c r="X67" s="12"/>
      <c r="Y67" s="12"/>
    </row>
    <row r="68" spans="10:25" x14ac:dyDescent="0.25">
      <c r="J68" t="s">
        <v>342</v>
      </c>
      <c r="K68">
        <v>1</v>
      </c>
      <c r="X68" s="12"/>
      <c r="Y68" s="12"/>
    </row>
    <row r="69" spans="10:25" x14ac:dyDescent="0.25">
      <c r="J69" t="s">
        <v>21</v>
      </c>
      <c r="K69">
        <v>1</v>
      </c>
      <c r="X69" s="12"/>
      <c r="Y69" s="12"/>
    </row>
    <row r="70" spans="10:25" x14ac:dyDescent="0.25">
      <c r="J70" t="s">
        <v>343</v>
      </c>
      <c r="K70">
        <v>1</v>
      </c>
      <c r="X70" s="12"/>
      <c r="Y70" s="12"/>
    </row>
    <row r="71" spans="10:25" x14ac:dyDescent="0.25">
      <c r="J71" t="s">
        <v>344</v>
      </c>
      <c r="K71">
        <v>1</v>
      </c>
      <c r="X71" s="12"/>
      <c r="Y71" s="12"/>
    </row>
    <row r="72" spans="10:25" x14ac:dyDescent="0.25">
      <c r="J72" t="s">
        <v>28</v>
      </c>
      <c r="K72">
        <v>1</v>
      </c>
      <c r="X72" s="12"/>
      <c r="Y72" s="12"/>
    </row>
    <row r="73" spans="10:25" x14ac:dyDescent="0.25">
      <c r="J73" t="s">
        <v>345</v>
      </c>
      <c r="K73">
        <v>1</v>
      </c>
      <c r="X73" s="12"/>
      <c r="Y73" s="12"/>
    </row>
    <row r="74" spans="10:25" x14ac:dyDescent="0.25">
      <c r="J74" t="s">
        <v>315</v>
      </c>
      <c r="K74">
        <v>1</v>
      </c>
      <c r="X74" s="12"/>
      <c r="Y74" s="12"/>
    </row>
    <row r="75" spans="10:25" x14ac:dyDescent="0.25">
      <c r="J75" t="s">
        <v>22</v>
      </c>
      <c r="K75">
        <v>1</v>
      </c>
      <c r="X75" s="12"/>
      <c r="Y75" s="12"/>
    </row>
    <row r="76" spans="10:25" x14ac:dyDescent="0.25">
      <c r="J76" t="s">
        <v>318</v>
      </c>
      <c r="K76">
        <v>1</v>
      </c>
      <c r="X76" s="12"/>
      <c r="Y76" s="12"/>
    </row>
    <row r="175" spans="1:14" x14ac:dyDescent="0.25">
      <c r="A175" s="9"/>
      <c r="N175" s="9"/>
    </row>
    <row r="197" spans="1:14" x14ac:dyDescent="0.25">
      <c r="A197" s="9"/>
      <c r="N197" s="9"/>
    </row>
  </sheetData>
  <sortState ref="U4:Y80">
    <sortCondition descending="1" ref="Y4:Y80"/>
  </sortState>
  <mergeCells count="6">
    <mergeCell ref="V2:W2"/>
    <mergeCell ref="D3:E3"/>
    <mergeCell ref="A3:B3"/>
    <mergeCell ref="G3:H3"/>
    <mergeCell ref="J3:K3"/>
    <mergeCell ref="O2:P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3:M260"/>
  <sheetViews>
    <sheetView tabSelected="1" workbookViewId="0">
      <selection activeCell="H3" sqref="H3"/>
    </sheetView>
  </sheetViews>
  <sheetFormatPr baseColWidth="10" defaultRowHeight="15" x14ac:dyDescent="0.25"/>
  <sheetData>
    <row r="3" spans="1:13" x14ac:dyDescent="0.25">
      <c r="B3" t="s">
        <v>67</v>
      </c>
      <c r="L3" t="s">
        <v>68</v>
      </c>
    </row>
    <row r="4" spans="1:13" x14ac:dyDescent="0.25">
      <c r="A4" t="s">
        <v>36</v>
      </c>
      <c r="B4">
        <v>731</v>
      </c>
      <c r="C4" s="13">
        <v>0.42059838895281931</v>
      </c>
      <c r="K4" s="10" t="s">
        <v>319</v>
      </c>
      <c r="L4">
        <v>392</v>
      </c>
      <c r="M4" s="13">
        <f>+L4/SUM($L$4:$L$85)</f>
        <v>0.22554660529344073</v>
      </c>
    </row>
    <row r="5" spans="1:13" x14ac:dyDescent="0.25">
      <c r="A5" t="s">
        <v>284</v>
      </c>
      <c r="B5">
        <v>482</v>
      </c>
      <c r="C5" s="13">
        <v>0.27733026467203681</v>
      </c>
      <c r="K5" t="s">
        <v>320</v>
      </c>
      <c r="L5">
        <v>243</v>
      </c>
      <c r="M5" s="13">
        <f>+L5/SUM($L$4:$L$85)</f>
        <v>0.13981588032220943</v>
      </c>
    </row>
    <row r="6" spans="1:13" x14ac:dyDescent="0.25">
      <c r="A6" t="s">
        <v>285</v>
      </c>
      <c r="B6">
        <v>60</v>
      </c>
      <c r="C6" s="13">
        <v>3.4522439585730723E-2</v>
      </c>
      <c r="K6" t="s">
        <v>321</v>
      </c>
      <c r="L6">
        <v>236</v>
      </c>
      <c r="M6" s="13">
        <f>+L6/SUM($L$4:$L$85)</f>
        <v>0.13578826237054084</v>
      </c>
    </row>
    <row r="7" spans="1:13" x14ac:dyDescent="0.25">
      <c r="A7" t="s">
        <v>322</v>
      </c>
      <c r="B7">
        <v>43</v>
      </c>
      <c r="C7" s="13">
        <v>2.4741081703107019E-2</v>
      </c>
      <c r="K7" t="s">
        <v>285</v>
      </c>
      <c r="L7">
        <v>63</v>
      </c>
      <c r="M7" s="13">
        <f>+L7/SUM($L$4:$L$85)</f>
        <v>3.6248561565017261E-2</v>
      </c>
    </row>
    <row r="8" spans="1:13" x14ac:dyDescent="0.25">
      <c r="A8" t="s">
        <v>286</v>
      </c>
      <c r="B8">
        <v>40</v>
      </c>
      <c r="C8" s="13">
        <v>2.3014959723820484E-2</v>
      </c>
      <c r="K8" t="s">
        <v>295</v>
      </c>
      <c r="L8">
        <v>62</v>
      </c>
      <c r="M8" s="13">
        <f>+L8/SUM($L$4:$L$85)</f>
        <v>3.5673187571921748E-2</v>
      </c>
    </row>
    <row r="9" spans="1:13" x14ac:dyDescent="0.25">
      <c r="A9" t="s">
        <v>42</v>
      </c>
      <c r="B9">
        <v>28</v>
      </c>
      <c r="C9" s="13">
        <v>1.611047180667434E-2</v>
      </c>
      <c r="K9" t="s">
        <v>290</v>
      </c>
      <c r="L9">
        <v>51</v>
      </c>
      <c r="M9" s="13">
        <f>+L9/SUM($L$4:$L$85)</f>
        <v>2.9344073647871116E-2</v>
      </c>
    </row>
    <row r="10" spans="1:13" x14ac:dyDescent="0.25">
      <c r="A10" t="s">
        <v>287</v>
      </c>
      <c r="B10">
        <v>25</v>
      </c>
      <c r="C10" s="13">
        <v>1.4384349827387802E-2</v>
      </c>
      <c r="K10" t="s">
        <v>286</v>
      </c>
      <c r="L10">
        <v>48</v>
      </c>
      <c r="M10" s="13">
        <f>+L10/SUM($L$4:$L$85)</f>
        <v>2.7617951668584578E-2</v>
      </c>
    </row>
    <row r="11" spans="1:13" x14ac:dyDescent="0.25">
      <c r="A11" t="s">
        <v>44</v>
      </c>
      <c r="B11">
        <v>25</v>
      </c>
      <c r="C11" s="13">
        <v>1.4384349827387802E-2</v>
      </c>
      <c r="K11" t="s">
        <v>327</v>
      </c>
      <c r="L11">
        <v>37</v>
      </c>
      <c r="M11" s="13">
        <f>+L11/SUM($L$4:$L$85)</f>
        <v>2.1288837744533946E-2</v>
      </c>
    </row>
    <row r="12" spans="1:13" x14ac:dyDescent="0.25">
      <c r="A12" t="s">
        <v>288</v>
      </c>
      <c r="B12">
        <v>23</v>
      </c>
      <c r="C12" s="13">
        <v>1.3233601841196778E-2</v>
      </c>
      <c r="K12" t="s">
        <v>46</v>
      </c>
      <c r="L12">
        <v>32</v>
      </c>
      <c r="M12" s="13">
        <f>+L12/SUM($L$4:$L$85)</f>
        <v>1.8411967779056387E-2</v>
      </c>
    </row>
    <row r="13" spans="1:13" x14ac:dyDescent="0.25">
      <c r="A13" t="s">
        <v>65</v>
      </c>
      <c r="B13">
        <f>198+83</f>
        <v>281</v>
      </c>
      <c r="C13" s="13">
        <f>+B13/SUM(B4:B16)</f>
        <v>0.16168009205983891</v>
      </c>
      <c r="K13" t="s">
        <v>289</v>
      </c>
      <c r="L13">
        <v>30</v>
      </c>
      <c r="M13" s="13">
        <f>+L13/SUM($L$4:$L$85)</f>
        <v>1.7261219792865361E-2</v>
      </c>
    </row>
    <row r="14" spans="1:13" x14ac:dyDescent="0.25">
      <c r="C14" s="13"/>
      <c r="K14" t="s">
        <v>292</v>
      </c>
      <c r="L14">
        <v>28</v>
      </c>
      <c r="M14" s="13">
        <f>+L14/SUM($L$4:$L$85)</f>
        <v>1.611047180667434E-2</v>
      </c>
    </row>
    <row r="15" spans="1:13" x14ac:dyDescent="0.25">
      <c r="C15" s="13"/>
      <c r="K15" t="s">
        <v>42</v>
      </c>
      <c r="L15">
        <v>27</v>
      </c>
      <c r="M15" s="13">
        <f>+L15/SUM($L$4:$L$85)</f>
        <v>1.5535097813578827E-2</v>
      </c>
    </row>
    <row r="16" spans="1:13" x14ac:dyDescent="0.25">
      <c r="C16" s="13"/>
      <c r="K16" t="s">
        <v>33</v>
      </c>
      <c r="L16">
        <v>25</v>
      </c>
      <c r="M16" s="13">
        <f>+L16/SUM($L$4:$L$85)</f>
        <v>1.4384349827387802E-2</v>
      </c>
    </row>
    <row r="17" spans="3:13" x14ac:dyDescent="0.25">
      <c r="K17" t="s">
        <v>287</v>
      </c>
      <c r="L17">
        <v>25</v>
      </c>
      <c r="M17" s="13">
        <f>+L17/SUM($L$4:$L$85)</f>
        <v>1.4384349827387802E-2</v>
      </c>
    </row>
    <row r="18" spans="3:13" x14ac:dyDescent="0.25">
      <c r="C18" s="13"/>
      <c r="K18" t="s">
        <v>35</v>
      </c>
      <c r="L18">
        <v>25</v>
      </c>
      <c r="M18" s="13">
        <f>+L18/SUM($L$4:$L$85)</f>
        <v>1.4384349827387802E-2</v>
      </c>
    </row>
    <row r="19" spans="3:13" x14ac:dyDescent="0.25">
      <c r="C19" s="13"/>
      <c r="K19" t="s">
        <v>65</v>
      </c>
      <c r="L19">
        <v>414</v>
      </c>
      <c r="M19" s="13">
        <f>+L19/SUM($L$4:$L$85)</f>
        <v>0.23820483314154201</v>
      </c>
    </row>
    <row r="20" spans="3:13" x14ac:dyDescent="0.25">
      <c r="C20" s="13"/>
      <c r="M20" s="13"/>
    </row>
    <row r="21" spans="3:13" x14ac:dyDescent="0.25">
      <c r="C21" s="13"/>
      <c r="M21" s="13"/>
    </row>
    <row r="22" spans="3:13" x14ac:dyDescent="0.25">
      <c r="C22" s="13"/>
      <c r="M22" s="13"/>
    </row>
    <row r="23" spans="3:13" x14ac:dyDescent="0.25">
      <c r="C23" s="13"/>
      <c r="M23" s="13"/>
    </row>
    <row r="24" spans="3:13" x14ac:dyDescent="0.25">
      <c r="C24" s="13"/>
      <c r="M24" s="13"/>
    </row>
    <row r="25" spans="3:13" x14ac:dyDescent="0.25">
      <c r="C25" s="13"/>
      <c r="M25" s="13"/>
    </row>
    <row r="26" spans="3:13" x14ac:dyDescent="0.25">
      <c r="C26" s="13"/>
      <c r="M26" s="13"/>
    </row>
    <row r="27" spans="3:13" x14ac:dyDescent="0.25">
      <c r="C27" s="13"/>
      <c r="M27" s="13"/>
    </row>
    <row r="28" spans="3:13" x14ac:dyDescent="0.25">
      <c r="C28" s="13"/>
      <c r="M28" s="13"/>
    </row>
    <row r="29" spans="3:13" x14ac:dyDescent="0.25">
      <c r="C29" s="13"/>
      <c r="M29" s="13"/>
    </row>
    <row r="30" spans="3:13" x14ac:dyDescent="0.25">
      <c r="C30" s="13"/>
      <c r="M30" s="13"/>
    </row>
    <row r="31" spans="3:13" x14ac:dyDescent="0.25">
      <c r="C31" s="13"/>
      <c r="M31" s="13"/>
    </row>
    <row r="32" spans="3:13" x14ac:dyDescent="0.25">
      <c r="C32" s="13"/>
      <c r="M32" s="13"/>
    </row>
    <row r="33" spans="1:13" x14ac:dyDescent="0.25">
      <c r="C33" s="13"/>
      <c r="M33" s="13"/>
    </row>
    <row r="34" spans="1:13" x14ac:dyDescent="0.25">
      <c r="C34" s="13"/>
      <c r="M34" s="13"/>
    </row>
    <row r="35" spans="1:13" x14ac:dyDescent="0.25">
      <c r="C35" s="13"/>
      <c r="M35" s="13"/>
    </row>
    <row r="36" spans="1:13" x14ac:dyDescent="0.25">
      <c r="C36" s="13"/>
      <c r="M36" s="13"/>
    </row>
    <row r="37" spans="1:13" x14ac:dyDescent="0.25">
      <c r="C37" s="13"/>
      <c r="M37" s="13"/>
    </row>
    <row r="38" spans="1:13" x14ac:dyDescent="0.25">
      <c r="C38" s="13"/>
      <c r="M38" s="13"/>
    </row>
    <row r="39" spans="1:13" x14ac:dyDescent="0.25">
      <c r="C39" s="13"/>
      <c r="M39" s="13"/>
    </row>
    <row r="40" spans="1:13" x14ac:dyDescent="0.25">
      <c r="C40" s="13"/>
      <c r="M40" s="13"/>
    </row>
    <row r="41" spans="1:13" x14ac:dyDescent="0.25">
      <c r="A41" s="10"/>
      <c r="C41" s="13"/>
      <c r="M41" s="13"/>
    </row>
    <row r="42" spans="1:13" x14ac:dyDescent="0.25">
      <c r="C42" s="13"/>
      <c r="M42" s="13"/>
    </row>
    <row r="43" spans="1:13" x14ac:dyDescent="0.25">
      <c r="C43" s="13"/>
      <c r="M43" s="13"/>
    </row>
    <row r="44" spans="1:13" x14ac:dyDescent="0.25">
      <c r="C44" s="13"/>
      <c r="M44" s="13"/>
    </row>
    <row r="45" spans="1:13" x14ac:dyDescent="0.25">
      <c r="C45" s="13"/>
      <c r="M45" s="13"/>
    </row>
    <row r="46" spans="1:13" x14ac:dyDescent="0.25">
      <c r="C46" s="13"/>
      <c r="M46" s="13"/>
    </row>
    <row r="47" spans="1:13" x14ac:dyDescent="0.25">
      <c r="C47" s="13"/>
      <c r="K47" s="10"/>
      <c r="M47" s="13"/>
    </row>
    <row r="48" spans="1:13" x14ac:dyDescent="0.25">
      <c r="C48" s="13"/>
      <c r="M48" s="13"/>
    </row>
    <row r="49" spans="3:13" x14ac:dyDescent="0.25">
      <c r="C49" s="13"/>
      <c r="M49" s="13"/>
    </row>
    <row r="50" spans="3:13" x14ac:dyDescent="0.25">
      <c r="C50" s="13"/>
      <c r="M50" s="13"/>
    </row>
    <row r="51" spans="3:13" x14ac:dyDescent="0.25">
      <c r="C51" s="13"/>
      <c r="M51" s="13"/>
    </row>
    <row r="52" spans="3:13" x14ac:dyDescent="0.25">
      <c r="C52" s="13"/>
      <c r="M52" s="13"/>
    </row>
    <row r="53" spans="3:13" x14ac:dyDescent="0.25">
      <c r="C53" s="13"/>
      <c r="M53" s="13"/>
    </row>
    <row r="54" spans="3:13" x14ac:dyDescent="0.25">
      <c r="C54" s="13"/>
      <c r="M54" s="13"/>
    </row>
    <row r="55" spans="3:13" x14ac:dyDescent="0.25">
      <c r="C55" s="13"/>
      <c r="M55" s="13"/>
    </row>
    <row r="56" spans="3:13" x14ac:dyDescent="0.25">
      <c r="C56" s="13"/>
      <c r="M56" s="13"/>
    </row>
    <row r="57" spans="3:13" x14ac:dyDescent="0.25">
      <c r="C57" s="13"/>
      <c r="M57" s="13"/>
    </row>
    <row r="58" spans="3:13" x14ac:dyDescent="0.25">
      <c r="C58" s="13"/>
      <c r="M58" s="13"/>
    </row>
    <row r="59" spans="3:13" x14ac:dyDescent="0.25">
      <c r="C59" s="13"/>
      <c r="M59" s="13"/>
    </row>
    <row r="60" spans="3:13" x14ac:dyDescent="0.25">
      <c r="M60" s="13"/>
    </row>
    <row r="61" spans="3:13" x14ac:dyDescent="0.25">
      <c r="M61" s="13"/>
    </row>
    <row r="62" spans="3:13" x14ac:dyDescent="0.25">
      <c r="M62" s="13"/>
    </row>
    <row r="63" spans="3:13" x14ac:dyDescent="0.25">
      <c r="M63" s="13"/>
    </row>
    <row r="64" spans="3:13" x14ac:dyDescent="0.25">
      <c r="M64" s="13"/>
    </row>
    <row r="65" spans="11:13" x14ac:dyDescent="0.25">
      <c r="M65" s="13"/>
    </row>
    <row r="66" spans="11:13" x14ac:dyDescent="0.25">
      <c r="M66" s="13"/>
    </row>
    <row r="67" spans="11:13" x14ac:dyDescent="0.25">
      <c r="M67" s="13"/>
    </row>
    <row r="68" spans="11:13" x14ac:dyDescent="0.25">
      <c r="M68" s="13"/>
    </row>
    <row r="69" spans="11:13" x14ac:dyDescent="0.25">
      <c r="M69" s="13"/>
    </row>
    <row r="70" spans="11:13" x14ac:dyDescent="0.25">
      <c r="M70" s="13"/>
    </row>
    <row r="71" spans="11:13" x14ac:dyDescent="0.25">
      <c r="M71" s="13"/>
    </row>
    <row r="72" spans="11:13" x14ac:dyDescent="0.25">
      <c r="K72" s="10"/>
      <c r="M72" s="13"/>
    </row>
    <row r="73" spans="11:13" x14ac:dyDescent="0.25">
      <c r="M73" s="13"/>
    </row>
    <row r="74" spans="11:13" x14ac:dyDescent="0.25">
      <c r="M74" s="13"/>
    </row>
    <row r="75" spans="11:13" x14ac:dyDescent="0.25">
      <c r="M75" s="13"/>
    </row>
    <row r="76" spans="11:13" x14ac:dyDescent="0.25">
      <c r="M76" s="13"/>
    </row>
    <row r="77" spans="11:13" x14ac:dyDescent="0.25">
      <c r="M77" s="13"/>
    </row>
    <row r="78" spans="11:13" x14ac:dyDescent="0.25">
      <c r="M78" s="13"/>
    </row>
    <row r="79" spans="11:13" x14ac:dyDescent="0.25">
      <c r="M79" s="13"/>
    </row>
    <row r="80" spans="11:13" x14ac:dyDescent="0.25">
      <c r="M80" s="13"/>
    </row>
    <row r="81" spans="1:13" x14ac:dyDescent="0.25">
      <c r="M81" s="13"/>
    </row>
    <row r="82" spans="1:13" x14ac:dyDescent="0.25">
      <c r="M82" s="13"/>
    </row>
    <row r="83" spans="1:13" x14ac:dyDescent="0.25">
      <c r="M83" s="13"/>
    </row>
    <row r="84" spans="1:13" x14ac:dyDescent="0.25">
      <c r="M84" s="13"/>
    </row>
    <row r="85" spans="1:13" x14ac:dyDescent="0.25">
      <c r="M85" s="13"/>
    </row>
    <row r="86" spans="1:13" x14ac:dyDescent="0.25">
      <c r="M86" s="13"/>
    </row>
    <row r="87" spans="1:13" x14ac:dyDescent="0.25">
      <c r="M87" s="13"/>
    </row>
    <row r="88" spans="1:13" x14ac:dyDescent="0.25">
      <c r="M88" s="13"/>
    </row>
    <row r="89" spans="1:13" x14ac:dyDescent="0.25">
      <c r="M89" s="13"/>
    </row>
    <row r="90" spans="1:13" x14ac:dyDescent="0.25">
      <c r="M90" s="13"/>
    </row>
    <row r="91" spans="1:13" x14ac:dyDescent="0.25">
      <c r="M91" s="13"/>
    </row>
    <row r="92" spans="1:13" x14ac:dyDescent="0.25">
      <c r="M92" s="13"/>
    </row>
    <row r="93" spans="1:13" x14ac:dyDescent="0.25">
      <c r="A93" s="9"/>
      <c r="M93" s="13"/>
    </row>
    <row r="94" spans="1:13" x14ac:dyDescent="0.25">
      <c r="M94" s="13"/>
    </row>
    <row r="95" spans="1:13" x14ac:dyDescent="0.25">
      <c r="M95" s="13"/>
    </row>
    <row r="96" spans="1:13" x14ac:dyDescent="0.25">
      <c r="M96" s="13"/>
    </row>
    <row r="97" spans="13:13" x14ac:dyDescent="0.25">
      <c r="M97" s="13"/>
    </row>
    <row r="98" spans="13:13" x14ac:dyDescent="0.25">
      <c r="M98" s="13"/>
    </row>
    <row r="99" spans="13:13" x14ac:dyDescent="0.25">
      <c r="M99" s="13"/>
    </row>
    <row r="100" spans="13:13" x14ac:dyDescent="0.25">
      <c r="M100" s="13"/>
    </row>
    <row r="101" spans="13:13" x14ac:dyDescent="0.25">
      <c r="M101" s="13"/>
    </row>
    <row r="102" spans="13:13" x14ac:dyDescent="0.25">
      <c r="M102" s="13"/>
    </row>
    <row r="103" spans="13:13" x14ac:dyDescent="0.25">
      <c r="M103" s="13"/>
    </row>
    <row r="104" spans="13:13" x14ac:dyDescent="0.25">
      <c r="M104" s="13"/>
    </row>
    <row r="105" spans="13:13" x14ac:dyDescent="0.25">
      <c r="M105" s="13"/>
    </row>
    <row r="106" spans="13:13" x14ac:dyDescent="0.25">
      <c r="M106" s="13"/>
    </row>
    <row r="107" spans="13:13" x14ac:dyDescent="0.25">
      <c r="M107" s="13"/>
    </row>
    <row r="108" spans="13:13" x14ac:dyDescent="0.25">
      <c r="M108" s="13"/>
    </row>
    <row r="109" spans="13:13" x14ac:dyDescent="0.25">
      <c r="M109" s="13"/>
    </row>
    <row r="110" spans="13:13" x14ac:dyDescent="0.25">
      <c r="M110" s="13"/>
    </row>
    <row r="111" spans="13:13" x14ac:dyDescent="0.25">
      <c r="M111" s="13"/>
    </row>
    <row r="112" spans="13:13" x14ac:dyDescent="0.25">
      <c r="M112" s="13"/>
    </row>
    <row r="113" spans="1:13" x14ac:dyDescent="0.25">
      <c r="M113" s="13"/>
    </row>
    <row r="114" spans="1:13" x14ac:dyDescent="0.25">
      <c r="M114" s="13"/>
    </row>
    <row r="115" spans="1:13" x14ac:dyDescent="0.25">
      <c r="A115" s="9"/>
      <c r="M115" s="13"/>
    </row>
    <row r="116" spans="1:13" x14ac:dyDescent="0.25">
      <c r="M116" s="13"/>
    </row>
    <row r="117" spans="1:13" x14ac:dyDescent="0.25">
      <c r="M117" s="13"/>
    </row>
    <row r="118" spans="1:13" x14ac:dyDescent="0.25">
      <c r="M118" s="13"/>
    </row>
    <row r="119" spans="1:13" x14ac:dyDescent="0.25">
      <c r="M119" s="13"/>
    </row>
    <row r="120" spans="1:13" x14ac:dyDescent="0.25">
      <c r="M120" s="13"/>
    </row>
    <row r="121" spans="1:13" x14ac:dyDescent="0.25">
      <c r="M121" s="13"/>
    </row>
    <row r="122" spans="1:13" x14ac:dyDescent="0.25">
      <c r="M122" s="13"/>
    </row>
    <row r="123" spans="1:13" x14ac:dyDescent="0.25">
      <c r="M123" s="13"/>
    </row>
    <row r="124" spans="1:13" x14ac:dyDescent="0.25">
      <c r="M124" s="13"/>
    </row>
    <row r="125" spans="1:13" x14ac:dyDescent="0.25">
      <c r="M125" s="13"/>
    </row>
    <row r="126" spans="1:13" x14ac:dyDescent="0.25">
      <c r="M126" s="13"/>
    </row>
    <row r="127" spans="1:13" x14ac:dyDescent="0.25">
      <c r="M127" s="13"/>
    </row>
    <row r="128" spans="1:13" x14ac:dyDescent="0.25">
      <c r="M128" s="13"/>
    </row>
    <row r="129" spans="13:13" x14ac:dyDescent="0.25">
      <c r="M129" s="13"/>
    </row>
    <row r="130" spans="13:13" x14ac:dyDescent="0.25">
      <c r="M130" s="13"/>
    </row>
    <row r="131" spans="13:13" x14ac:dyDescent="0.25">
      <c r="M131" s="13"/>
    </row>
    <row r="132" spans="13:13" x14ac:dyDescent="0.25">
      <c r="M132" s="13"/>
    </row>
    <row r="133" spans="13:13" x14ac:dyDescent="0.25">
      <c r="M133" s="13"/>
    </row>
    <row r="134" spans="13:13" x14ac:dyDescent="0.25">
      <c r="M134" s="13"/>
    </row>
    <row r="135" spans="13:13" x14ac:dyDescent="0.25">
      <c r="M135" s="13"/>
    </row>
    <row r="136" spans="13:13" x14ac:dyDescent="0.25">
      <c r="M136" s="13"/>
    </row>
    <row r="137" spans="13:13" x14ac:dyDescent="0.25">
      <c r="M137" s="13"/>
    </row>
    <row r="138" spans="13:13" x14ac:dyDescent="0.25">
      <c r="M138" s="13"/>
    </row>
    <row r="139" spans="13:13" x14ac:dyDescent="0.25">
      <c r="M139" s="13"/>
    </row>
    <row r="140" spans="13:13" x14ac:dyDescent="0.25">
      <c r="M140" s="13"/>
    </row>
    <row r="141" spans="13:13" x14ac:dyDescent="0.25">
      <c r="M141" s="13"/>
    </row>
    <row r="142" spans="13:13" x14ac:dyDescent="0.25">
      <c r="M142" s="13"/>
    </row>
    <row r="143" spans="13:13" x14ac:dyDescent="0.25">
      <c r="M143" s="13"/>
    </row>
    <row r="144" spans="13:13" x14ac:dyDescent="0.25">
      <c r="M144" s="13"/>
    </row>
    <row r="145" spans="13:13" x14ac:dyDescent="0.25">
      <c r="M145" s="13"/>
    </row>
    <row r="146" spans="13:13" x14ac:dyDescent="0.25">
      <c r="M146" s="13"/>
    </row>
    <row r="147" spans="13:13" x14ac:dyDescent="0.25">
      <c r="M147" s="13"/>
    </row>
    <row r="148" spans="13:13" x14ac:dyDescent="0.25">
      <c r="M148" s="13"/>
    </row>
    <row r="149" spans="13:13" x14ac:dyDescent="0.25">
      <c r="M149" s="13"/>
    </row>
    <row r="150" spans="13:13" x14ac:dyDescent="0.25">
      <c r="M150" s="13"/>
    </row>
    <row r="151" spans="13:13" x14ac:dyDescent="0.25">
      <c r="M151" s="13"/>
    </row>
    <row r="152" spans="13:13" x14ac:dyDescent="0.25">
      <c r="M152" s="13"/>
    </row>
    <row r="153" spans="13:13" x14ac:dyDescent="0.25">
      <c r="M153" s="13"/>
    </row>
    <row r="154" spans="13:13" x14ac:dyDescent="0.25">
      <c r="M154" s="13"/>
    </row>
    <row r="155" spans="13:13" x14ac:dyDescent="0.25">
      <c r="M155" s="13"/>
    </row>
    <row r="156" spans="13:13" x14ac:dyDescent="0.25">
      <c r="M156" s="13"/>
    </row>
    <row r="157" spans="13:13" x14ac:dyDescent="0.25">
      <c r="M157" s="13"/>
    </row>
    <row r="158" spans="13:13" x14ac:dyDescent="0.25">
      <c r="M158" s="13"/>
    </row>
    <row r="159" spans="13:13" x14ac:dyDescent="0.25">
      <c r="M159" s="13"/>
    </row>
    <row r="160" spans="13:13" x14ac:dyDescent="0.25">
      <c r="M160" s="13"/>
    </row>
    <row r="161" spans="13:13" x14ac:dyDescent="0.25">
      <c r="M161" s="13"/>
    </row>
    <row r="162" spans="13:13" x14ac:dyDescent="0.25">
      <c r="M162" s="13"/>
    </row>
    <row r="163" spans="13:13" x14ac:dyDescent="0.25">
      <c r="M163" s="13"/>
    </row>
    <row r="164" spans="13:13" x14ac:dyDescent="0.25">
      <c r="M164" s="13"/>
    </row>
    <row r="165" spans="13:13" x14ac:dyDescent="0.25">
      <c r="M165" s="13"/>
    </row>
    <row r="166" spans="13:13" x14ac:dyDescent="0.25">
      <c r="M166" s="13"/>
    </row>
    <row r="167" spans="13:13" x14ac:dyDescent="0.25">
      <c r="M167" s="13"/>
    </row>
    <row r="168" spans="13:13" x14ac:dyDescent="0.25">
      <c r="M168" s="13"/>
    </row>
    <row r="169" spans="13:13" x14ac:dyDescent="0.25">
      <c r="M169" s="13"/>
    </row>
    <row r="170" spans="13:13" x14ac:dyDescent="0.25">
      <c r="M170" s="13"/>
    </row>
    <row r="171" spans="13:13" x14ac:dyDescent="0.25">
      <c r="M171" s="13"/>
    </row>
    <row r="172" spans="13:13" x14ac:dyDescent="0.25">
      <c r="M172" s="13"/>
    </row>
    <row r="173" spans="13:13" x14ac:dyDescent="0.25">
      <c r="M173" s="13"/>
    </row>
    <row r="174" spans="13:13" x14ac:dyDescent="0.25">
      <c r="M174" s="13"/>
    </row>
    <row r="175" spans="13:13" x14ac:dyDescent="0.25">
      <c r="M175" s="13"/>
    </row>
    <row r="176" spans="13:13" x14ac:dyDescent="0.25">
      <c r="M176" s="13"/>
    </row>
    <row r="177" spans="13:13" x14ac:dyDescent="0.25">
      <c r="M177" s="13"/>
    </row>
    <row r="178" spans="13:13" x14ac:dyDescent="0.25">
      <c r="M178" s="13"/>
    </row>
    <row r="179" spans="13:13" x14ac:dyDescent="0.25">
      <c r="M179" s="13"/>
    </row>
    <row r="180" spans="13:13" x14ac:dyDescent="0.25">
      <c r="M180" s="13"/>
    </row>
    <row r="181" spans="13:13" x14ac:dyDescent="0.25">
      <c r="M181" s="13"/>
    </row>
    <row r="182" spans="13:13" x14ac:dyDescent="0.25">
      <c r="M182" s="13"/>
    </row>
    <row r="183" spans="13:13" x14ac:dyDescent="0.25">
      <c r="M183" s="13"/>
    </row>
    <row r="184" spans="13:13" x14ac:dyDescent="0.25">
      <c r="M184" s="13"/>
    </row>
    <row r="185" spans="13:13" x14ac:dyDescent="0.25">
      <c r="M185" s="13"/>
    </row>
    <row r="186" spans="13:13" x14ac:dyDescent="0.25">
      <c r="M186" s="13"/>
    </row>
    <row r="187" spans="13:13" x14ac:dyDescent="0.25">
      <c r="M187" s="13"/>
    </row>
    <row r="188" spans="13:13" x14ac:dyDescent="0.25">
      <c r="M188" s="13"/>
    </row>
    <row r="189" spans="13:13" x14ac:dyDescent="0.25">
      <c r="M189" s="13"/>
    </row>
    <row r="190" spans="13:13" x14ac:dyDescent="0.25">
      <c r="M190" s="13"/>
    </row>
    <row r="191" spans="13:13" x14ac:dyDescent="0.25">
      <c r="M191" s="13"/>
    </row>
    <row r="192" spans="13:13" x14ac:dyDescent="0.25">
      <c r="M192" s="13"/>
    </row>
    <row r="193" spans="13:13" x14ac:dyDescent="0.25">
      <c r="M193" s="13"/>
    </row>
    <row r="194" spans="13:13" x14ac:dyDescent="0.25">
      <c r="M194" s="13"/>
    </row>
    <row r="195" spans="13:13" x14ac:dyDescent="0.25">
      <c r="M195" s="13"/>
    </row>
    <row r="196" spans="13:13" x14ac:dyDescent="0.25">
      <c r="M196" s="13"/>
    </row>
    <row r="197" spans="13:13" x14ac:dyDescent="0.25">
      <c r="M197" s="13"/>
    </row>
    <row r="198" spans="13:13" x14ac:dyDescent="0.25">
      <c r="M198" s="13"/>
    </row>
    <row r="199" spans="13:13" x14ac:dyDescent="0.25">
      <c r="M199" s="13"/>
    </row>
    <row r="200" spans="13:13" x14ac:dyDescent="0.25">
      <c r="M200" s="13"/>
    </row>
    <row r="201" spans="13:13" x14ac:dyDescent="0.25">
      <c r="M201" s="13"/>
    </row>
    <row r="202" spans="13:13" x14ac:dyDescent="0.25">
      <c r="M202" s="13"/>
    </row>
    <row r="203" spans="13:13" x14ac:dyDescent="0.25">
      <c r="M203" s="13"/>
    </row>
    <row r="204" spans="13:13" x14ac:dyDescent="0.25">
      <c r="M204" s="13"/>
    </row>
    <row r="205" spans="13:13" x14ac:dyDescent="0.25">
      <c r="M205" s="13"/>
    </row>
    <row r="206" spans="13:13" x14ac:dyDescent="0.25">
      <c r="M206" s="13"/>
    </row>
    <row r="207" spans="13:13" x14ac:dyDescent="0.25">
      <c r="M207" s="13"/>
    </row>
    <row r="208" spans="13:13" x14ac:dyDescent="0.25">
      <c r="M208" s="13"/>
    </row>
    <row r="209" spans="13:13" x14ac:dyDescent="0.25">
      <c r="M209" s="13"/>
    </row>
    <row r="210" spans="13:13" x14ac:dyDescent="0.25">
      <c r="M210" s="13"/>
    </row>
    <row r="211" spans="13:13" x14ac:dyDescent="0.25">
      <c r="M211" s="13"/>
    </row>
    <row r="212" spans="13:13" x14ac:dyDescent="0.25">
      <c r="M212" s="13"/>
    </row>
    <row r="213" spans="13:13" x14ac:dyDescent="0.25">
      <c r="M213" s="13"/>
    </row>
    <row r="214" spans="13:13" x14ac:dyDescent="0.25">
      <c r="M214" s="13"/>
    </row>
    <row r="215" spans="13:13" x14ac:dyDescent="0.25">
      <c r="M215" s="13"/>
    </row>
    <row r="216" spans="13:13" x14ac:dyDescent="0.25">
      <c r="M216" s="13"/>
    </row>
    <row r="217" spans="13:13" x14ac:dyDescent="0.25">
      <c r="M217" s="13"/>
    </row>
    <row r="218" spans="13:13" x14ac:dyDescent="0.25">
      <c r="M218" s="13"/>
    </row>
    <row r="219" spans="13:13" x14ac:dyDescent="0.25">
      <c r="M219" s="13"/>
    </row>
    <row r="220" spans="13:13" x14ac:dyDescent="0.25">
      <c r="M220" s="13"/>
    </row>
    <row r="221" spans="13:13" x14ac:dyDescent="0.25">
      <c r="M221" s="13"/>
    </row>
    <row r="222" spans="13:13" x14ac:dyDescent="0.25">
      <c r="M222" s="13"/>
    </row>
    <row r="223" spans="13:13" x14ac:dyDescent="0.25">
      <c r="M223" s="13"/>
    </row>
    <row r="224" spans="13:13" x14ac:dyDescent="0.25">
      <c r="M224" s="13"/>
    </row>
    <row r="225" spans="13:13" x14ac:dyDescent="0.25">
      <c r="M225" s="13"/>
    </row>
    <row r="226" spans="13:13" x14ac:dyDescent="0.25">
      <c r="M226" s="13"/>
    </row>
    <row r="227" spans="13:13" x14ac:dyDescent="0.25">
      <c r="M227" s="13"/>
    </row>
    <row r="228" spans="13:13" x14ac:dyDescent="0.25">
      <c r="M228" s="13"/>
    </row>
    <row r="229" spans="13:13" x14ac:dyDescent="0.25">
      <c r="M229" s="13"/>
    </row>
    <row r="230" spans="13:13" x14ac:dyDescent="0.25">
      <c r="M230" s="13"/>
    </row>
    <row r="231" spans="13:13" x14ac:dyDescent="0.25">
      <c r="M231" s="13"/>
    </row>
    <row r="232" spans="13:13" x14ac:dyDescent="0.25">
      <c r="M232" s="13"/>
    </row>
    <row r="233" spans="13:13" x14ac:dyDescent="0.25">
      <c r="M233" s="13"/>
    </row>
    <row r="234" spans="13:13" x14ac:dyDescent="0.25">
      <c r="M234" s="13"/>
    </row>
    <row r="235" spans="13:13" x14ac:dyDescent="0.25">
      <c r="M235" s="13"/>
    </row>
    <row r="236" spans="13:13" x14ac:dyDescent="0.25">
      <c r="M236" s="13"/>
    </row>
    <row r="237" spans="13:13" x14ac:dyDescent="0.25">
      <c r="M237" s="13"/>
    </row>
    <row r="238" spans="13:13" x14ac:dyDescent="0.25">
      <c r="M238" s="13"/>
    </row>
    <row r="239" spans="13:13" x14ac:dyDescent="0.25">
      <c r="M239" s="13"/>
    </row>
    <row r="240" spans="13:13" x14ac:dyDescent="0.25">
      <c r="M240" s="13"/>
    </row>
    <row r="241" spans="13:13" x14ac:dyDescent="0.25">
      <c r="M241" s="13"/>
    </row>
    <row r="242" spans="13:13" x14ac:dyDescent="0.25">
      <c r="M242" s="13"/>
    </row>
    <row r="243" spans="13:13" x14ac:dyDescent="0.25">
      <c r="M243" s="13"/>
    </row>
    <row r="244" spans="13:13" x14ac:dyDescent="0.25">
      <c r="M244" s="13"/>
    </row>
    <row r="245" spans="13:13" x14ac:dyDescent="0.25">
      <c r="M245" s="13"/>
    </row>
    <row r="246" spans="13:13" x14ac:dyDescent="0.25">
      <c r="M246" s="13"/>
    </row>
    <row r="247" spans="13:13" x14ac:dyDescent="0.25">
      <c r="M247" s="13"/>
    </row>
    <row r="248" spans="13:13" x14ac:dyDescent="0.25">
      <c r="M248" s="13"/>
    </row>
    <row r="249" spans="13:13" x14ac:dyDescent="0.25">
      <c r="M249" s="13"/>
    </row>
    <row r="250" spans="13:13" x14ac:dyDescent="0.25">
      <c r="M250" s="13"/>
    </row>
    <row r="251" spans="13:13" x14ac:dyDescent="0.25">
      <c r="M251" s="13"/>
    </row>
    <row r="252" spans="13:13" x14ac:dyDescent="0.25">
      <c r="M252" s="13"/>
    </row>
    <row r="253" spans="13:13" x14ac:dyDescent="0.25">
      <c r="M253" s="13"/>
    </row>
    <row r="254" spans="13:13" x14ac:dyDescent="0.25">
      <c r="M254" s="13"/>
    </row>
    <row r="255" spans="13:13" x14ac:dyDescent="0.25">
      <c r="M255" s="13"/>
    </row>
    <row r="256" spans="13:13" x14ac:dyDescent="0.25">
      <c r="M256" s="13"/>
    </row>
    <row r="257" spans="13:13" x14ac:dyDescent="0.25">
      <c r="M257" s="13"/>
    </row>
    <row r="258" spans="13:13" x14ac:dyDescent="0.25">
      <c r="M258" s="13"/>
    </row>
    <row r="259" spans="13:13" x14ac:dyDescent="0.25">
      <c r="M259" s="13"/>
    </row>
    <row r="260" spans="13:13" x14ac:dyDescent="0.25">
      <c r="M260" s="13"/>
    </row>
  </sheetData>
  <sortState ref="K4:M85">
    <sortCondition descending="1" ref="L4:L85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Datos Originales</vt:lpstr>
      <vt:lpstr>Probabilidad Fuente S</vt:lpstr>
      <vt:lpstr>Probabilidad Fuente S1</vt:lpstr>
      <vt:lpstr>Hoja2</vt:lpstr>
      <vt:lpstr>Graficos Paquetes</vt:lpstr>
      <vt:lpstr>Probabilidad SRC DST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Nicolás Abásolo</dc:creator>
  <cp:lastModifiedBy>Nicolás Abásolo</cp:lastModifiedBy>
  <dcterms:created xsi:type="dcterms:W3CDTF">2015-09-15T18:09:35Z</dcterms:created>
  <dcterms:modified xsi:type="dcterms:W3CDTF">2015-09-17T14:35:14Z</dcterms:modified>
</cp:coreProperties>
</file>