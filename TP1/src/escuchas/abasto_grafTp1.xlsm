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\Desktop\"/>
    </mc:Choice>
  </mc:AlternateContent>
  <bookViews>
    <workbookView xWindow="0" yWindow="0" windowWidth="19200" windowHeight="11595" activeTab="5"/>
  </bookViews>
  <sheets>
    <sheet name="Datos Originales" sheetId="1" r:id="rId1"/>
    <sheet name="Probabilidad Fuente S" sheetId="2" r:id="rId2"/>
    <sheet name="Probabilidad Fuente S1" sheetId="3" state="hidden" r:id="rId3"/>
    <sheet name="Hoja2" sheetId="5" r:id="rId4"/>
    <sheet name="Graficos Paquetes" sheetId="7" r:id="rId5"/>
    <sheet name="Probabilidad SRC DST" sheetId="8" r:id="rId6"/>
  </sheets>
  <definedNames>
    <definedName name="laboratorioDC" localSheetId="3">Hoja2!#REF!</definedName>
  </definedNames>
  <calcPr calcId="152511"/>
</workbook>
</file>

<file path=xl/calcChain.xml><?xml version="1.0" encoding="utf-8"?>
<calcChain xmlns="http://schemas.openxmlformats.org/spreadsheetml/2006/main"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4" i="8"/>
  <c r="C5" i="8"/>
  <c r="C6" i="8"/>
  <c r="C4" i="8"/>
  <c r="B5" i="8"/>
  <c r="B6" i="8"/>
  <c r="B4" i="8"/>
  <c r="V5" i="7"/>
  <c r="W5" i="7"/>
  <c r="X5" i="7"/>
  <c r="Y5" i="7"/>
  <c r="V6" i="7"/>
  <c r="W6" i="7"/>
  <c r="X6" i="7"/>
  <c r="Y6" i="7"/>
  <c r="V7" i="7"/>
  <c r="W7" i="7"/>
  <c r="X7" i="7"/>
  <c r="Y7" i="7"/>
  <c r="V8" i="7"/>
  <c r="W8" i="7"/>
  <c r="X8" i="7"/>
  <c r="Y8" i="7"/>
  <c r="V9" i="7"/>
  <c r="W9" i="7"/>
  <c r="X9" i="7"/>
  <c r="Y9" i="7"/>
  <c r="V10" i="7"/>
  <c r="W10" i="7"/>
  <c r="X10" i="7"/>
  <c r="Y10" i="7"/>
  <c r="V11" i="7"/>
  <c r="W11" i="7"/>
  <c r="X11" i="7"/>
  <c r="Y11" i="7"/>
  <c r="V12" i="7"/>
  <c r="W12" i="7"/>
  <c r="X12" i="7"/>
  <c r="Y12" i="7"/>
  <c r="V13" i="7"/>
  <c r="W13" i="7"/>
  <c r="X13" i="7"/>
  <c r="Y13" i="7"/>
  <c r="V14" i="7"/>
  <c r="W14" i="7"/>
  <c r="X14" i="7"/>
  <c r="Y14" i="7"/>
  <c r="V15" i="7"/>
  <c r="W15" i="7"/>
  <c r="X15" i="7"/>
  <c r="Y15" i="7"/>
  <c r="V16" i="7"/>
  <c r="W16" i="7"/>
  <c r="X16" i="7"/>
  <c r="Y16" i="7"/>
  <c r="V17" i="7"/>
  <c r="W17" i="7"/>
  <c r="X17" i="7"/>
  <c r="Y17" i="7"/>
  <c r="V18" i="7"/>
  <c r="W18" i="7"/>
  <c r="X18" i="7"/>
  <c r="Y18" i="7"/>
  <c r="V19" i="7"/>
  <c r="W19" i="7"/>
  <c r="X19" i="7"/>
  <c r="Y19" i="7"/>
  <c r="V20" i="7"/>
  <c r="X20" i="7" s="1"/>
  <c r="Y20" i="7"/>
  <c r="O5" i="7"/>
  <c r="P5" i="7"/>
  <c r="Q5" i="7"/>
  <c r="R5" i="7"/>
  <c r="O6" i="7"/>
  <c r="P6" i="7"/>
  <c r="Q6" i="7"/>
  <c r="R6" i="7"/>
  <c r="O7" i="7"/>
  <c r="P7" i="7"/>
  <c r="Q7" i="7"/>
  <c r="R7" i="7"/>
  <c r="O8" i="7"/>
  <c r="P8" i="7"/>
  <c r="Q8" i="7"/>
  <c r="R8" i="7"/>
  <c r="O9" i="7"/>
  <c r="P9" i="7"/>
  <c r="Q9" i="7"/>
  <c r="R9" i="7"/>
  <c r="O10" i="7"/>
  <c r="P10" i="7"/>
  <c r="Q10" i="7"/>
  <c r="R10" i="7"/>
  <c r="O11" i="7"/>
  <c r="P11" i="7"/>
  <c r="Q11" i="7"/>
  <c r="R11" i="7"/>
  <c r="O12" i="7"/>
  <c r="P12" i="7"/>
  <c r="Q12" i="7"/>
  <c r="R12" i="7"/>
  <c r="O13" i="7"/>
  <c r="P13" i="7"/>
  <c r="Q13" i="7"/>
  <c r="R13" i="7"/>
  <c r="O14" i="7"/>
  <c r="P14" i="7"/>
  <c r="Q14" i="7"/>
  <c r="R14" i="7"/>
  <c r="O15" i="7"/>
  <c r="P15" i="7"/>
  <c r="Q15" i="7"/>
  <c r="R15" i="7"/>
  <c r="O16" i="7"/>
  <c r="P16" i="7"/>
  <c r="Q16" i="7"/>
  <c r="R16" i="7"/>
  <c r="O17" i="7"/>
  <c r="P17" i="7"/>
  <c r="Q17" i="7"/>
  <c r="R17" i="7"/>
  <c r="O18" i="7"/>
  <c r="P18" i="7"/>
  <c r="Q18" i="7"/>
  <c r="R18" i="7"/>
  <c r="O19" i="7"/>
  <c r="P19" i="7"/>
  <c r="Q19" i="7"/>
  <c r="R19" i="7"/>
  <c r="O20" i="7"/>
  <c r="P20" i="7"/>
  <c r="Q20" i="7"/>
  <c r="R20" i="7"/>
  <c r="O21" i="7"/>
  <c r="P21" i="7"/>
  <c r="Q21" i="7"/>
  <c r="R21" i="7"/>
  <c r="O22" i="7"/>
  <c r="P22" i="7"/>
  <c r="Q22" i="7"/>
  <c r="R22" i="7"/>
  <c r="O23" i="7"/>
  <c r="P23" i="7"/>
  <c r="Q23" i="7"/>
  <c r="R23" i="7"/>
  <c r="O24" i="7"/>
  <c r="P24" i="7"/>
  <c r="Q24" i="7"/>
  <c r="R24" i="7"/>
  <c r="O25" i="7"/>
  <c r="P25" i="7"/>
  <c r="Q25" i="7"/>
  <c r="R25" i="7"/>
  <c r="O26" i="7"/>
  <c r="P26" i="7"/>
  <c r="Q26" i="7"/>
  <c r="R26" i="7"/>
  <c r="O27" i="7"/>
  <c r="P27" i="7"/>
  <c r="Q27" i="7"/>
  <c r="R27" i="7"/>
  <c r="O28" i="7"/>
  <c r="P28" i="7"/>
  <c r="Q28" i="7"/>
  <c r="R28" i="7"/>
  <c r="O29" i="7"/>
  <c r="P29" i="7"/>
  <c r="Q29" i="7"/>
  <c r="R29" i="7"/>
  <c r="O30" i="7"/>
  <c r="P30" i="7"/>
  <c r="Q30" i="7"/>
  <c r="R30" i="7"/>
  <c r="O31" i="7"/>
  <c r="P31" i="7"/>
  <c r="Q31" i="7"/>
  <c r="R31" i="7"/>
  <c r="O32" i="7"/>
  <c r="P32" i="7"/>
  <c r="Q32" i="7"/>
  <c r="R32" i="7"/>
  <c r="O33" i="7"/>
  <c r="P33" i="7"/>
  <c r="Q33" i="7"/>
  <c r="R33" i="7"/>
  <c r="O34" i="7"/>
  <c r="P34" i="7"/>
  <c r="Q34" i="7"/>
  <c r="R34" i="7"/>
  <c r="O35" i="7"/>
  <c r="P35" i="7"/>
  <c r="Q35" i="7"/>
  <c r="R35" i="7"/>
  <c r="O36" i="7"/>
  <c r="P36" i="7"/>
  <c r="Q36" i="7"/>
  <c r="R36" i="7"/>
  <c r="O37" i="7"/>
  <c r="P37" i="7"/>
  <c r="Q37" i="7"/>
  <c r="R37" i="7"/>
  <c r="O38" i="7"/>
  <c r="P38" i="7"/>
  <c r="Q38" i="7"/>
  <c r="R38" i="7"/>
  <c r="O39" i="7"/>
  <c r="P39" i="7"/>
  <c r="Q39" i="7"/>
  <c r="R39" i="7"/>
  <c r="O40" i="7"/>
  <c r="P40" i="7"/>
  <c r="Q40" i="7"/>
  <c r="R40" i="7"/>
  <c r="O41" i="7"/>
  <c r="Q41" i="7" s="1"/>
  <c r="R41" i="7"/>
  <c r="W4" i="7" l="1"/>
  <c r="V4" i="7"/>
  <c r="O4" i="7"/>
  <c r="Q4" i="7" s="1"/>
  <c r="P4" i="7"/>
  <c r="R4" i="7" s="1"/>
  <c r="Y4" i="7" l="1"/>
  <c r="X4" i="7"/>
</calcChain>
</file>

<file path=xl/sharedStrings.xml><?xml version="1.0" encoding="utf-8"?>
<sst xmlns="http://schemas.openxmlformats.org/spreadsheetml/2006/main" count="1322" uniqueCount="264">
  <si>
    <t>Tipo de Paquete</t>
  </si>
  <si>
    <t>Probabilidad Fuente S</t>
  </si>
  <si>
    <t>Probabilidad</t>
  </si>
  <si>
    <t>ARP (2054)</t>
  </si>
  <si>
    <t>Probabilidad Fuente S1</t>
  </si>
  <si>
    <t>Datos a Completar</t>
  </si>
  <si>
    <t>Probabilidad de la Fuente S1:</t>
  </si>
  <si>
    <t>Probabilidad de la Fuente S:</t>
  </si>
  <si>
    <t>Entropía de la Fuente S:</t>
  </si>
  <si>
    <t>Entropía de la Fuente S1:</t>
  </si>
  <si>
    <t>Relación MAC-IP:</t>
  </si>
  <si>
    <t>IPv6 (34525)</t>
  </si>
  <si>
    <t>IPv4 (2048)</t>
  </si>
  <si>
    <t>Who_has_src_ips_to_count:</t>
  </si>
  <si>
    <t>Who_has_dst_ips_to_count:</t>
  </si>
  <si>
    <t>Is_at_src_ips_to_count:</t>
  </si>
  <si>
    <t>Is_at_dst_ips_to_count:</t>
  </si>
  <si>
    <t>DST - Who-Has</t>
  </si>
  <si>
    <t>SRC - Who-Has</t>
  </si>
  <si>
    <t>SRC - Is-At</t>
  </si>
  <si>
    <t>DST - Is-At</t>
  </si>
  <si>
    <t>Otros</t>
  </si>
  <si>
    <t>WHO-HAS</t>
  </si>
  <si>
    <t>Source</t>
  </si>
  <si>
    <t>Destination</t>
  </si>
  <si>
    <t>Is-At</t>
  </si>
  <si>
    <t>1}</t>
  </si>
  <si>
    <t>Red: Abasto</t>
  </si>
  <si>
    <t>Who has? ip 172.16.145.58, tell ip 172.16.0.1, at mac 00:09:0f:09:00:06</t>
  </si>
  <si>
    <t>The ip 172.16.0.1 is at mac 00:09:0f:09:00:06, telling ip 172.16.143.122, at mac 34:4d:f7:15:a8:f0</t>
  </si>
  <si>
    <t>Who has? ip 172.16.140.61, tell ip 172.16.0.1, at mac 00:09:0f:09:00:06</t>
  </si>
  <si>
    <t>Who has? ip 172.16.135.7, tell ip 172.16.0.1, at mac 00:09:0f:09:00:06</t>
  </si>
  <si>
    <t>Who has? ip 172.16.146.19, tell ip 172.16.0.1, at mac 00:09:0f:09:00:06</t>
  </si>
  <si>
    <t>The ip 172.16.146.19 is at mac 94:39:e5:57:d4:b4, telling ip 172.16.0.1, at mac 00:09:0f:09:00:06</t>
  </si>
  <si>
    <t>Who has? ip 172.16.133.79, tell ip 172.16.0.1, at mac 00:09:0f:09:00:06</t>
  </si>
  <si>
    <t>The ip 172.16.0.1 is at mac 00:09:0f:09:00:06, telling ip 172.16.143.78, at mac e0:91:53:69:d7:d8</t>
  </si>
  <si>
    <t>The ip 172.16.0.1 is at mac 00:09:0f:09:00:06, telling ip 172.16.133.79, at mac 14:1a:a3:d5:36:e7</t>
  </si>
  <si>
    <t>The ip 172.16.0.1 is at mac 00:09:0f:09:00:06, telling ip 172.16.138.187, at mac e8:94:f6:1e:bf:45</t>
  </si>
  <si>
    <t>Who has? ip 172.16.145.74, tell ip 172.16.0.1, at mac 00:09:0f:09:00:06</t>
  </si>
  <si>
    <t>Who has? ip 172.16.145.111, tell ip 172.16.0.1, at mac 00:09:0f:09:00:06</t>
  </si>
  <si>
    <t>The ip 172.16.0.1 is at mac 00:09:0f:09:00:06, telling ip 172.16.146.48, at mac b0:c5:59:a9:1e:76</t>
  </si>
  <si>
    <t>The ip 172.16.0.1 is at mac 00:09:0f:09:00:06, telling ip 172.16.145.111, at mac 14:32:d1:b3:c4:5a</t>
  </si>
  <si>
    <t>The ip 172.16.0.1 is at mac 00:09:0f:09:00:06, telling ip 172.16.145.213, at mac 30:19:66:32:b1:f3</t>
  </si>
  <si>
    <t>Who has? ip 172.16.145.213, tell ip 172.16.0.1, at mac 00:09:0f:09:00:06</t>
  </si>
  <si>
    <t>The ip 172.16.0.1 is at mac 00:09:0f:09:00:06, telling ip 172.16.135.130, at mac 1c:69:a5:0f:d8:a9</t>
  </si>
  <si>
    <t>Who has? ip 172.16.135.130, tell ip 172.16.0.1, at mac 00:09:0f:09:00:06</t>
  </si>
  <si>
    <t>Who has? ip 172.16.146.48, tell ip 172.16.0.1, at mac 00:09:0f:09:00:06</t>
  </si>
  <si>
    <t>Who has? ip 172.16.143.61, tell ip 172.16.0.1, at mac 00:09:0f:09:00:06</t>
  </si>
  <si>
    <t>The ip 172.16.0.1 is at mac 00:09:0f:09:00:06, telling ip 172.16.135.238, at mac e0:c9:7a:e9:0e:3e</t>
  </si>
  <si>
    <t>The ip 172.16.0.1 is at mac 00:09:0f:09:00:06, telling ip 172.16.135.7, at mac b4:ef:39:46:25:ab</t>
  </si>
  <si>
    <t>Who has? ip 172.16.0.1, tell ip 172.16.146.19, at mac 94:39:e5:57:d4:b4</t>
  </si>
  <si>
    <t>The ip 172.16.0.1 is at mac 00:09:0f:09:00:06, telling ip 172.16.146.19, at mac 94:39:e5:57:d4:b4</t>
  </si>
  <si>
    <t>The ip 172.16.0.1 is at mac 00:09:0f:09:00:06, telling ip 172.16.143.7, at mac 2c:54:cf:f4:56:09</t>
  </si>
  <si>
    <t>The ip 172.16.0.1 is at mac 00:09:0f:09:00:06, telling ip 172.16.143.61, at mac a8:06:00:2c:e1:c1</t>
  </si>
  <si>
    <t>Who has? ip 172.16.135.238, tell ip 172.16.0.1, at mac 00:09:0f:09:00:06</t>
  </si>
  <si>
    <t>Who has? ip 172.16.145.247, tell ip 172.16.0.1, at mac 00:09:0f:09:00:06</t>
  </si>
  <si>
    <t>Who has? ip 172.16.143.7, tell ip 172.16.0.1, at mac 00:09:0f:09:00:06</t>
  </si>
  <si>
    <t>The ip 172.16.0.1 is at mac 00:09:0f:09:00:06, telling ip 172.16.146.78, at mac e0:db:10:f6:b2:35</t>
  </si>
  <si>
    <t>Who has? ip 172.16.146.78, tell ip 172.16.0.1, at mac 00:09:0f:09:00:06</t>
  </si>
  <si>
    <t>Who has? ip 172.16.134.131, tell ip 172.16.0.1, at mac 00:09:0f:09:00:06</t>
  </si>
  <si>
    <t>Who has? ip 172.16.143.170, tell ip 172.16.0.1, at mac 00:09:0f:09:00:06</t>
  </si>
  <si>
    <t>Who has? ip 172.16.140.34, tell ip 172.16.0.1, at mac 00:09:0f:09:00:06</t>
  </si>
  <si>
    <t>The ip 172.16.0.1 is at mac 00:09:0f:09:00:06, telling ip 172.16.146.107, at mac 74:e2:8c:fd:09:c4</t>
  </si>
  <si>
    <t>The ip 172.16.0.1 is at mac 00:09:0f:09:00:06, telling ip 172.16.134.56, at mac 50:2d:1d:47:18:de</t>
  </si>
  <si>
    <t>Who has? ip 172.16.135.9, tell ip 172.16.0.1, at mac 00:09:0f:09:00:06</t>
  </si>
  <si>
    <t>Who has? ip 172.16.133.134, tell ip 172.16.0.1, at mac 00:09:0f:09:00:06</t>
  </si>
  <si>
    <t>The ip 172.16.0.1 is at mac 00:09:0f:09:00:06, telling ip 172.16.135.88, at mac ac:36:13:c7:9a:03</t>
  </si>
  <si>
    <t>Who has? ip 172.16.135.88, tell ip 172.16.0.1, at mac 00:09:0f:09:00:06</t>
  </si>
  <si>
    <t>The ip 172.16.0.1 is at mac 00:09:0f:09:00:06, telling ip 172.16.142.74, at mac 80:96:b1:bc:4e:f3</t>
  </si>
  <si>
    <t>Who has? ip 172.16.136.29, tell ip 172.16.0.1, at mac 00:09:0f:09:00:06</t>
  </si>
  <si>
    <t>Who has? ip 172.16.136.53, tell ip 172.16.0.1, at mac 00:09:0f:09:00:06</t>
  </si>
  <si>
    <t>The ip 172.16.0.1 is at mac 00:09:0f:09:00:06, telling ip 172.16.145.247, at mac 6c:71:d9:b6:10:44</t>
  </si>
  <si>
    <t>The ip 172.16.0.1 is at mac 00:09:0f:09:00:06, telling ip 172.16.134.131, at mac 44:74:6c:d8:be:c2</t>
  </si>
  <si>
    <t>The ip 172.16.0.1 is at mac 00:09:0f:09:00:06, telling ip 172.16.136.53, at mac 40:6f:2a:89:74:c3</t>
  </si>
  <si>
    <t>Who has? ip 172.16.139.96, tell ip 172.16.0.1, at mac 00:09:0f:09:00:06</t>
  </si>
  <si>
    <t>Who has? ip 172.16.146.123, tell ip 172.16.0.1, at mac 00:09:0f:09:00:06</t>
  </si>
  <si>
    <t>Who has? ip 172.16.142.74, tell ip 172.16.0.1, at mac 00:09:0f:09:00:06</t>
  </si>
  <si>
    <t>The ip 172.16.0.1 is at mac 00:09:0f:09:00:06, telling ip 172.16.145.74, at mac 0c:b3:19:fb:d4:51</t>
  </si>
  <si>
    <t>Who has? ip 172.16.197.215, tell ip 172.16.0.1, at mac 00:09:0f:09:00:06</t>
  </si>
  <si>
    <t>The ip 172.16.0.1 is at mac 00:09:0f:09:00:06, telling ip 172.16.131.13, at mac 0c:e7:25:95:d9:b4</t>
  </si>
  <si>
    <t>Who has? ip 172.16.131.13, tell ip 172.16.0.1, at mac 00:09:0f:09:00:06</t>
  </si>
  <si>
    <t>Who has? ip 172.16.146.68, tell ip 172.16.0.1, at mac 00:09:0f:09:00:06</t>
  </si>
  <si>
    <t>The ip 172.16.0.1 is at mac 00:09:0f:09:00:06, telling ip 172.16.145.237, at mac 34:cd:be:ca:da:15</t>
  </si>
  <si>
    <t>Who has? ip 172.16.133.255, tell ip 172.16.0.1, at mac 00:09:0f:09:00:06</t>
  </si>
  <si>
    <t>Who has? ip 172.16.139.35, tell ip 172.16.0.1, at mac 00:09:0f:09:00:06</t>
  </si>
  <si>
    <t>Who has? ip 172.16.145.237, tell ip 172.16.0.1, at mac 00:09:0f:09:00:06</t>
  </si>
  <si>
    <t>Who has? ip 172.16.143.94, tell ip 172.16.0.1, at mac 00:09:0f:09:00:06</t>
  </si>
  <si>
    <t>Who has? ip 172.16.140.233, tell ip 172.16.0.1, at mac 00:09:0f:09:00:06</t>
  </si>
  <si>
    <t>The ip 172.16.0.1 is at mac 00:09:0f:09:00:06, telling ip 172.16.143.94, at mac cc:fa:00:ea:68:2b</t>
  </si>
  <si>
    <t>The ip 172.16.0.1 is at mac 00:09:0f:09:00:06, telling ip 172.16.140.34, at mac b0:c5:59:d0:3d:30</t>
  </si>
  <si>
    <t>Who has? ip 172.16.143.78, tell ip 172.16.0.1, at mac 00:09:0f:09:00:06</t>
  </si>
  <si>
    <t>Who has? ip 172.16.139.104, tell ip 172.16.0.1, at mac 00:09:0f:09:00:06</t>
  </si>
  <si>
    <t>The ip 172.16.255.242 is at mac 00:03:31:2e:00:1b, telling ip 172.16.146.238, at mac 20:6e:9c:00:98:7a</t>
  </si>
  <si>
    <t>The ip 172.16.0.1 is at mac 00:09:0f:09:00:06, telling ip 172.16.133.203, at mac 48:9d:24:89:1e:e7</t>
  </si>
  <si>
    <t>Who has? ip 172.16.133.203, tell ip 172.16.0.1, at mac 00:09:0f:09:00:06</t>
  </si>
  <si>
    <t>Who has? ip 172.16.146.238, tell ip 172.16.0.1, at mac 00:09:0f:09:00:06</t>
  </si>
  <si>
    <t>The ip 172.16.0.1 is at mac 00:09:0f:09:00:06, telling ip 172.16.145.8, at mac 60:8f:5c:1e:11:b4</t>
  </si>
  <si>
    <t>Who has? ip 172.16.145.8, tell ip 172.16.0.1, at mac 00:09:0f:09:00:06</t>
  </si>
  <si>
    <t>Who has? ip 172.16.144.146, tell ip 172.16.0.1, at mac 00:09:0f:09:00:06</t>
  </si>
  <si>
    <t>Who has? ip 172.16.137.195, tell ip 172.16.0.1, at mac 00:09:0f:09:00:06</t>
  </si>
  <si>
    <t>The ip 172.16.0.1 is at mac 00:09:0f:09:00:06, telling ip 172.16.147.69, at mac 20:6e:9c:00:56:2e</t>
  </si>
  <si>
    <t>Who has? ip 172.16.147.69, tell ip 172.16.0.1, at mac 00:09:0f:09:00:06</t>
  </si>
  <si>
    <t>The ip 172.16.0.1 is at mac 00:09:0f:09:00:06, telling ip 172.16.147.16, at mac 18:3a:2d:43:62:20</t>
  </si>
  <si>
    <t>Who has? ip 172.16.147.16, tell ip 172.16.0.1, at mac 00:09:0f:09:00:06</t>
  </si>
  <si>
    <t>Who has? ip 172.16.144.246, tell ip 172.16.0.1, at mac 00:09:0f:09:00:06</t>
  </si>
  <si>
    <t>The ip 172.16.0.1 is at mac 00:09:0f:09:00:06, telling ip 172.16.144.246, at mac e0:75:7d:65:01:b3</t>
  </si>
  <si>
    <t>The ip 172.16.0.1 is at mac 00:09:0f:09:00:06, telling ip 10.140.72.222, at mac e0:75:7d:65:01:b3</t>
  </si>
  <si>
    <t>Who has? ip 172.16.139.111, tell ip 172.16.0.1, at mac 00:09:0f:09:00:06</t>
  </si>
  <si>
    <t>Who has? ip 172.16.106.134, tell ip 172.16.0.1, at mac 00:09:0f:09:00:06</t>
  </si>
  <si>
    <t>The ip 172.16.0.1 is at mac 00:09:0f:09:00:06, telling ip 172.16.140.204, at mac 48:9d:24:50:cb:00</t>
  </si>
  <si>
    <t>Who has? ip 172.16.140.204, tell ip 172.16.0.1, at mac 00:09:0f:09:00:06</t>
  </si>
  <si>
    <t>The ip 172.16.255.242 is at mac 00:03:31:2e:00:1b, telling ip 172.16.147.16, at mac 18:3a:2d:43:62:20</t>
  </si>
  <si>
    <t>Who has? ip 172.16.138.187, tell ip 172.16.0.1, at mac 00:09:0f:09:00:06</t>
  </si>
  <si>
    <t>The ip 172.16.0.1 is at mac 00:09:0f:09:00:06, telling ip 172.16.147.103, at mac d0:92:9e:09:a9:09</t>
  </si>
  <si>
    <t>Who has? ip 172.16.147.103, tell ip 172.16.0.1, at mac 00:09:0f:09:00:06</t>
  </si>
  <si>
    <t>The ip 172.16.0.1 is at mac 00:09:0f:09:00:06, telling ip 172.16.147.204, at mac a0:f4:19:e9:ab:de</t>
  </si>
  <si>
    <t>Who has? ip 172.16.147.204, tell ip 172.16.0.1, at mac 00:09:0f:09:00:06</t>
  </si>
  <si>
    <t>Who has? ip 172.16.140.198, tell ip 172.16.0.1, at mac 00:09:0f:09:00:06</t>
  </si>
  <si>
    <t>The ip 172.16.0.1 is at mac 00:09:0f:09:00:06, telling ip 172.16.143.167, at mac a0:39:f7:0b:8e:20</t>
  </si>
  <si>
    <t>Who has? ip 172.16.143.167, tell ip 172.16.0.1, at mac 00:09:0f:09:00:06</t>
  </si>
  <si>
    <t>{2048: 0.9896642370653602, 34525: 8.961644162982435e-05, 2054: 0.010246146493009917}</t>
  </si>
  <si>
    <t>0.0837534729933</t>
  </si>
  <si>
    <t>{'e0:91:53:69:d7:d8': 0.009718172983479106, 'b8:6c:e8:d1:ce:25': 0.011175898931000973, 'a0:39:f7:07:ff:ec': 0.00923226433430515, '44:74:6c:d8:be:c2': 0.003401360544217687, 'b4:ef:39:46:25:ab': 0.03304178814382896, '50:2d:1d:47:18:de': 0.00048590864917395527, '00:09:0f:09:00:06': 0.4990281827016521, '80:96:b1:bc:4e:f3': 0.004373177842565598, 'a8:06:00:2c:e1:c1': 0.013605442176870748, '6c:71:d9:b6:10:44': 0.0228377065111759, '48:9d:24:50:cb:00': 0.0009718172983479105, 'a0:f4:19:e9:ab:de': 0.0014577259475218659, 'e8:94:f6:1e:bf:45': 0.007774538386783284, '18:3a:2d:43:62:20': 0.0058309037900874635, '34:4d:f7:15:a8:f0': 0.00048590864917395527, '14:1a:a3:a0:31:c6': 0.006316812439261419, 'e0:db:10:f6:b2:35': 0.018950437317784258, '48:9d:24:89:1e:e7': 0.001943634596695821, '40:6f:2a:89:74:c3': 0.00826044703595724, 'f8:a9:d0:47:eb:b9': 0.00048590864917395527, 'e0:75:7d:65:01:b3': 0.017006802721088437, 'cc:fa:00:ea:68:2b': 0.0009718172983479105, '68:7f:74:65:57:4f': 0.00048590864917395527, '30:19:66:32:b1:f3': 0.004373177842565598, 'b0:c5:59:a9:1e:76': 0.011175898931000973, 'a0:39:f7:0b:8e:20': 0.0009718172983479105, 'e0:c9:7a:e9:0e:3e': 0.021379980563654033, '34:cd:be:ca:da:15': 0.0024295432458697765, '2c:54:cf:f4:56:09': 0.007774538386783284, 'd0:92:9e:09:a9:09': 0.0029154518950437317, 'ac:36:13:c7:9a:03': 0.006316812439261419, '20:6e:9c:00:98:7a': 0.0009718172983479105, '08:fc:88:2d:94:ab': 0.0014577259475218659, 'b0:c5:59:d0:3d:30': 0.01652089407191448, '94:39:e5:57:d4:b4': 0.006802721088435374, '0c:b3:19:fb:d4:51': 0.009718172983479106, '40:78:6a:5c:83:80': 0.004859086491739553, '74:e2:8c:fd:09:c4': 0.0024295432458697765, '0c:e7:25:95:d9:b4': 0.0009718172983479105, '1c:69:a5:0f:d8:a9': 0.007774538386783284, '20:6e:9c:00:56:2e': 0.005344995140913508, 'ff:ff:ff:ff:ff:ff': 0.18318756073858114, 'c4:9a:02:30:04:8e': 0.003887269193391642, '14:32:d1:b3:c4:5a': 0.007774538386783284, '48:59:29:b6:0b:97': 0.0009718172983479105, 'e8:91:20:55:c6:e9': 0.00048590864917395527, '14:1a:a3:d5:36:e7': 0.003401360544217687, '00:03:31:2e:00:1b': 0.0009718172983479105, '60:8f:5c:1e:11:b4': 0.007288629737609329}</t>
  </si>
  <si>
    <t>3.03351332675</t>
  </si>
  <si>
    <t>{'e0:91:53:69:d7:d8': ['172.16.143.78'], 'b8:6c:e8:d1:ce:25': ['172.16.135.9'], 'a0:39:f7:07:ff:ec': ['172.16.145.58'], '44:74:6c:d8:be:c2': ['172.16.134.131'], '1c:69:a5:0f:d8:a9': ['172.16.135.130'], '50:2d:1d:47:18:de': ['172.16.134.56'], '00:09:0f:09:00:06': ['172.16.0.1'], '80:96:b1:bc:4e:f3': ['172.16.142.74'], 'a8:06:00:2c:e1:c1': ['172.16.143.61'], '6c:71:d9:b6:10:44': ['172.16.145.247'], '48:9d:24:50:cb:00': ['172.16.140.204'], 'a0:f4:19:e9:ab:de': ['172.16.147.204'], 'e8:94:f6:1e:bf:45': ['172.16.138.187'], '18:3a:2d:43:62:20': ['172.16.147.16'], '34:4d:f7:15:a8:f0': ['172.16.143.122'], '14:1a:a3:a0:31:c6': ['172.16.136.29'], 'e0:db:10:f6:b2:35': ['172.16.146.78'], '48:9d:24:89:1e:e7': ['172.16.133.203'], '40:6f:2a:89:74:c3': ['172.16.136.53'], 'f8:a9:d0:47:eb:b9': ['172.16.106.134'], 'e0:75:7d:65:01:b3': ['172.16.144.246', '10.140.72.222'], 'cc:fa:00:ea:68:2b': ['172.16.143.94'], '68:7f:74:65:57:4f': ['172.16.197.215'], '30:19:66:32:b1:f3': ['172.16.145.213'], 'b0:c5:59:a9:1e:76': ['172.16.146.48'], 'a0:39:f7:0b:8e:20': ['172.16.143.167'], 'e0:c9:7a:e9:0e:3e': ['172.16.135.238'], '34:cd:be:ca:da:15': ['172.16.145.237'], '2c:54:cf:f4:56:09': ['172.16.143.7'], 'd0:92:9e:09:a9:09': ['172.16.147.103'], 'ac:36:13:c7:9a:03': ['172.16.135.88'], '20:6e:9c:00:98:7a': ['172.16.146.238'], '08:fc:88:2d:94:ab': ['172.16.133.255'], 'b0:c5:59:d0:3d:30': ['172.16.140.34'], '94:39:e5:57:d4:b4': ['172.16.146.19'], '0c:b3:19:fb:d4:51': ['172.16.145.74'], '40:78:6a:5c:83:80': ['172.16.140.198'], '74:e2:8c:fd:09:c4': ['172.16.146.107'], '14:1a:a3:d5:36:e7': ['172.16.133.79'], 'b4:ef:39:46:25:ab': ['172.16.135.7'], '20:6e:9c:00:56:2e': ['172.16.147.69'], 'ff:ff:ff:ff:ff:ff': ['172.16.143.170', '172.16.146.68', '172.16.133.134', '172.16.144.246', '172.16.140.198', '172.16.140.34', '172.16.145.213', '172.16.135.238', '172.16.140.204', '172.16.133.203', '172.16.136.53', '172.16.143.61', '172.16.139.96', '172.16.133.79', '172.16.139.104', '172.16.139.35', '172.16.145.8', '172.16.146.78', '172.16.147.69', '172.16.145.247', '172.16.134.131', '172.16.139.111', '172.16.146.123', '172.16.145.74', '172.16.145.58', '172.16.140.233', '172.16.137.195', '172.16.135.7'], 'c4:9a:02:30:04:8e': ['172.16.140.61'], '14:32:d1:b3:c4:5a': ['172.16.145.111'], '48:59:29:b6:0b:97': ['172.16.133.134'], 'e8:91:20:55:c6:e9': ['172.16.144.146'], '0c:e7:25:95:d9:b4': ['172.16.131.13'], '00:03:31:2e:00:1b': ['172.16.255.242'], '60:8f:5c:1e:11:b4': ['172.16.145.8']}</t>
  </si>
  <si>
    <t>{'172.16.146.19': 2, '172.16.0.1': 858}</t>
  </si>
  <si>
    <t>{'172.16.143.170': 3, '172.16.146.48': 20, '172.16.146.68': 13, '172.16.135.88': 7, '172.16.145.111': 11, '172.16.0.1': 2, '172.16.147.16': 9, '172.16.142.74': 7, '172.16.140.198': 11, '172.16.140.34': 33, '172.16.145.213': 62, '172.16.140.61': 8, '172.16.145.237': 4, '172.16.143.61': 49, '172.16.135.238': 29, '172.16.139.96': 22, '172.16.133.203': 3, '172.16.136.53': 27, '172.16.138.187': 4, '172.16.147.103': 3, '172.16.140.204': 7, '172.16.146.19': 5, '172.16.133.79': 8, '172.16.135.130': 15, '172.16.144.246': 29, '172.16.135.7': 87, '172.16.139.104': 1, '172.16.139.35': 3, '172.16.143.94': 1, '172.16.143.167': 1, '172.16.146.78': 72, '172.16.144.146': 1, '172.16.147.69': 40, '172.16.145.247': 35, '172.16.133.134': 5, '172.16.134.131': 20, '172.16.145.58': 21, '172.16.146.123': 1, '172.16.146.238': 1, '172.16.133.255': 3, '172.16.140.233': 60, '172.16.147.204': 1, '172.16.197.215': 1, '172.16.143.78': 2, '172.16.145.74': 35, '172.16.106.134': 1, '172.16.135.9': 23, '172.16.136.29': 13, '172.16.139.111': 10, '172.16.145.8': 7, '172.16.137.195': 8, '172.16.143.7': 15, '172.16.131.13': 1}</t>
  </si>
  <si>
    <t>{'172.16.146.19': 5, '172.16.0.1': 162, '172.16.255.242': 2}</t>
  </si>
  <si>
    <t>{'172.16.146.48': 3, '172.16.135.238': 19, '172.16.136.53': 3, '172.16.0.1': 5, '172.16.147.16': 3, '172.16.142.74': 2, '10.140.72.222': 1, '172.16.145.213': 4, '172.16.145.237': 1, '172.16.143.61': 3, '172.16.145.8': 9, '172.16.133.203': 2, '172.16.145.111': 5, '172.16.138.187': 12, '172.16.147.103': 3, '172.16.140.204': 1, '172.16.146.19': 2, '172.16.133.79': 2, '172.16.135.130': 1, '172.16.144.246': 11, '172.16.135.88': 6, '172.16.143.94': 1, '172.16.143.167': 1, '172.16.146.78': 4, '172.16.147.204': 2, '172.16.147.69': 1, '172.16.143.122': 1, '172.16.145.247': 16, '172.16.134.131': 2, '172.16.140.34': 3, '172.16.146.238': 1, '172.16.143.78': 18, '172.16.146.107': 5, '172.16.134.56': 1, '172.16.145.74': 5, '172.16.135.7': 8, '172.16.143.7': 1, '172.16.131.13': 1}</t>
  </si>
  <si>
    <t>'172.16.0.1':</t>
  </si>
  <si>
    <t>172.16.0.1':</t>
  </si>
  <si>
    <t>172.16.146.19':</t>
  </si>
  <si>
    <t>172.16.0.1'</t>
  </si>
  <si>
    <t>172.16.146.19'</t>
  </si>
  <si>
    <t>'172.16.146.48':</t>
  </si>
  <si>
    <t>'172.16.135.88':</t>
  </si>
  <si>
    <t>'172.16.145.111':</t>
  </si>
  <si>
    <t>'172.16.147.16':</t>
  </si>
  <si>
    <t>'172.16.142.74':</t>
  </si>
  <si>
    <t>'172.16.140.34':</t>
  </si>
  <si>
    <t>'172.16.145.213':</t>
  </si>
  <si>
    <t>'172.16.145.237':</t>
  </si>
  <si>
    <t>'172.16.143.61':</t>
  </si>
  <si>
    <t>'172.16.135.238':</t>
  </si>
  <si>
    <t>'172.16.133.203':</t>
  </si>
  <si>
    <t>'172.16.136.53':</t>
  </si>
  <si>
    <t>'172.16.138.187':</t>
  </si>
  <si>
    <t>'172.16.147.103':</t>
  </si>
  <si>
    <t>'172.16.140.204':</t>
  </si>
  <si>
    <t>'172.16.146.19':</t>
  </si>
  <si>
    <t>'172.16.133.79':</t>
  </si>
  <si>
    <t>'172.16.135.130':</t>
  </si>
  <si>
    <t>'172.16.144.246':</t>
  </si>
  <si>
    <t>'172.16.135.7':</t>
  </si>
  <si>
    <t>'172.16.143.94':</t>
  </si>
  <si>
    <t>'172.16.143.167':</t>
  </si>
  <si>
    <t>'172.16.146.78':</t>
  </si>
  <si>
    <t>'172.16.147.69':</t>
  </si>
  <si>
    <t>'172.16.145.247':</t>
  </si>
  <si>
    <t>'172.16.134.131':</t>
  </si>
  <si>
    <t>'172.16.146.238':</t>
  </si>
  <si>
    <t>'172.16.147.204':</t>
  </si>
  <si>
    <t>'172.16.143.78':</t>
  </si>
  <si>
    <t>'172.16.145.74':</t>
  </si>
  <si>
    <t>'172.16.145.8':</t>
  </si>
  <si>
    <t>'172.16.143.7':</t>
  </si>
  <si>
    <t>'172.16.131.13':</t>
  </si>
  <si>
    <t>172.16.135.88':</t>
  </si>
  <si>
    <t>172.16.145.111':</t>
  </si>
  <si>
    <t>172.16.147.16':</t>
  </si>
  <si>
    <t>172.16.142.74':</t>
  </si>
  <si>
    <t>172.16.140.34':</t>
  </si>
  <si>
    <t>172.16.145.213':</t>
  </si>
  <si>
    <t>172.16.145.237':</t>
  </si>
  <si>
    <t>172.16.143.61':</t>
  </si>
  <si>
    <t>172.16.135.238':</t>
  </si>
  <si>
    <t>172.16.133.203':</t>
  </si>
  <si>
    <t>172.16.136.53':</t>
  </si>
  <si>
    <t>172.16.138.187':</t>
  </si>
  <si>
    <t>172.16.147.103':</t>
  </si>
  <si>
    <t>172.16.140.204':</t>
  </si>
  <si>
    <t>172.16.133.79':</t>
  </si>
  <si>
    <t>172.16.135.130':</t>
  </si>
  <si>
    <t>172.16.144.246':</t>
  </si>
  <si>
    <t>172.16.135.7':</t>
  </si>
  <si>
    <t>172.16.143.94':</t>
  </si>
  <si>
    <t>172.16.143.167':</t>
  </si>
  <si>
    <t>172.16.146.78':</t>
  </si>
  <si>
    <t>172.16.147.69':</t>
  </si>
  <si>
    <t>172.16.145.247':</t>
  </si>
  <si>
    <t>172.16.134.131':</t>
  </si>
  <si>
    <t>172.16.146.238':</t>
  </si>
  <si>
    <t>172.16.147.204':</t>
  </si>
  <si>
    <t>172.16.143.78':</t>
  </si>
  <si>
    <t>172.16.145.74':</t>
  </si>
  <si>
    <t>172.16.145.8':</t>
  </si>
  <si>
    <t>172.16.143.7':</t>
  </si>
  <si>
    <t>172.16.131.13':</t>
  </si>
  <si>
    <t>172.16.255.242'</t>
  </si>
  <si>
    <t>172.16.135.7'</t>
  </si>
  <si>
    <t>172.16.146.78'</t>
  </si>
  <si>
    <t>172.16.145.213'</t>
  </si>
  <si>
    <t>172.16.140.233'</t>
  </si>
  <si>
    <t>172.16.143.61'</t>
  </si>
  <si>
    <t>172.16.147.69'</t>
  </si>
  <si>
    <t>172.16.145.247'</t>
  </si>
  <si>
    <t>172.16.145.74'</t>
  </si>
  <si>
    <t>172.16.140.34'</t>
  </si>
  <si>
    <t>172.16.135.238'</t>
  </si>
  <si>
    <t>172.16.144.246'</t>
  </si>
  <si>
    <t>172.16.136.53'</t>
  </si>
  <si>
    <t>172.16.135.9'</t>
  </si>
  <si>
    <t>172.16.139.96'</t>
  </si>
  <si>
    <t>172.16.145.58'</t>
  </si>
  <si>
    <t>172.16.134.131'</t>
  </si>
  <si>
    <t>172.16.146.48'</t>
  </si>
  <si>
    <t>172.16.135.130'</t>
  </si>
  <si>
    <t>172.16.143.7'</t>
  </si>
  <si>
    <t>172.16.136.29'</t>
  </si>
  <si>
    <t>172.16.146.68'</t>
  </si>
  <si>
    <t>172.16.140.198'</t>
  </si>
  <si>
    <t>172.16.145.111'</t>
  </si>
  <si>
    <t>172.16.139.111'</t>
  </si>
  <si>
    <t>172.16.147.16'</t>
  </si>
  <si>
    <t>172.16.133.79'</t>
  </si>
  <si>
    <t>172.16.137.195'</t>
  </si>
  <si>
    <t>172.16.140.61'</t>
  </si>
  <si>
    <t>172.16.135.88'</t>
  </si>
  <si>
    <t>172.16.140.204'</t>
  </si>
  <si>
    <t>172.16.142.74'</t>
  </si>
  <si>
    <t>172.16.145.8'</t>
  </si>
  <si>
    <t>172.16.133.134'</t>
  </si>
  <si>
    <t>172.16.138.187'</t>
  </si>
  <si>
    <t>172.16.145.237'</t>
  </si>
  <si>
    <t>'172.16.143.170'</t>
  </si>
  <si>
    <t>172.16.133.203'</t>
  </si>
  <si>
    <t>172.16.133.255'</t>
  </si>
  <si>
    <t>172.16.139.35'</t>
  </si>
  <si>
    <t>172.16.147.103'</t>
  </si>
  <si>
    <t>172.16.143.78'</t>
  </si>
  <si>
    <t>172.16.106.134'</t>
  </si>
  <si>
    <t>172.16.139.104'</t>
  </si>
  <si>
    <t>172.16.143.167'</t>
  </si>
  <si>
    <t>172.16.143.94'</t>
  </si>
  <si>
    <t>172.16.144.146'</t>
  </si>
  <si>
    <t>172.16.146.123'</t>
  </si>
  <si>
    <t>172.16.146.238'</t>
  </si>
  <si>
    <t>172.16.147.204'</t>
  </si>
  <si>
    <t>172.16.197.215'</t>
  </si>
  <si>
    <t>172.16.131.13'</t>
  </si>
  <si>
    <t>{'172.16.146.48':</t>
  </si>
  <si>
    <t>'10.140.72.222':</t>
  </si>
  <si>
    <t>'172.16.143.122':</t>
  </si>
  <si>
    <t>'172.16.146.107':</t>
  </si>
  <si>
    <t>'172.16.134.56':</t>
  </si>
  <si>
    <t>10.140.72.222':</t>
  </si>
  <si>
    <t>172.16.143.122':</t>
  </si>
  <si>
    <t>172.16.146.107':</t>
  </si>
  <si>
    <t>172.16.134.56':</t>
  </si>
  <si>
    <t>172.16.146.107'</t>
  </si>
  <si>
    <t>'172.16.146.48'</t>
  </si>
  <si>
    <t>10.140.72.222'</t>
  </si>
  <si>
    <t>172.16.143.122'</t>
  </si>
  <si>
    <t>172.16.134.56'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</si>
</sst>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10" fontId="1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0" fillId="0" borderId="0" xfId="0" applyNumberFormat="1"/>
    <xf numFmtId="49" fontId="3" fillId="2" borderId="0" xfId="0" applyNumberFormat="1" applyFont="1" applyFill="1"/>
    <xf numFmtId="49" fontId="0" fillId="0" borderId="0" xfId="0" quotePrefix="1" applyNumberFormat="1"/>
    <xf numFmtId="49" fontId="4" fillId="2" borderId="0" xfId="0" applyNumberFormat="1" applyFont="1" applyFill="1"/>
    <xf numFmtId="3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0" fontId="0" fillId="0" borderId="0" xfId="0" applyAlignment="1">
      <alignment horizontal="center"/>
    </xf>
    <xf numFmtId="10" fontId="0" fillId="0" borderId="1" xfId="1" applyNumberFormat="1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Probabilidad Fuente S  - Protocolos Distinguidos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'Probabilidad Fuente S'!$B$3</c:f>
              <c:strCache>
                <c:ptCount val="1"/>
                <c:pt idx="0">
                  <c:v>Probabilidad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5.0790135608048993E-2"/>
                  <c:y val="-0.2119444444444444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748578302712161E-2"/>
                  <c:y val="1.000656167979002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682928696412954"/>
                  <c:y val="1.371573344998541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'Probabilidad Fuente S'!$A$4:$A$6</c:f>
              <c:strCache>
                <c:ptCount val="3"/>
                <c:pt idx="0">
                  <c:v>IPv4 (2048)</c:v>
                </c:pt>
                <c:pt idx="1">
                  <c:v>IPv6 (34525)</c:v>
                </c:pt>
                <c:pt idx="2">
                  <c:v>ARP (2054)</c:v>
                </c:pt>
              </c:strCache>
            </c:strRef>
          </c:cat>
          <c:val>
            <c:numRef>
              <c:f>'Probabilidad Fuente S'!$B$4:$B$6</c:f>
              <c:numCache>
                <c:formatCode>0.00%</c:formatCode>
                <c:ptCount val="3"/>
                <c:pt idx="0">
                  <c:v>0.98966423706536</c:v>
                </c:pt>
                <c:pt idx="1">
                  <c:v>8.9616441629824294E-5</c:v>
                </c:pt>
                <c:pt idx="2">
                  <c:v>1.02461464930099E-2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Paquetes ARP (WHO-HAS) por Host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496144407355286"/>
          <c:y val="0.1784793373696274"/>
          <c:w val="0.86590989272574315"/>
          <c:h val="0.591415911718559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Paquetes'!$Q$3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Paquetes'!$N$4:$N$41</c:f>
              <c:strCache>
                <c:ptCount val="38"/>
                <c:pt idx="0">
                  <c:v>172.16.0.1'</c:v>
                </c:pt>
                <c:pt idx="1">
                  <c:v>172.16.146.19'</c:v>
                </c:pt>
                <c:pt idx="2">
                  <c:v>172.16.135.7'</c:v>
                </c:pt>
                <c:pt idx="3">
                  <c:v>172.16.146.78'</c:v>
                </c:pt>
                <c:pt idx="4">
                  <c:v>172.16.145.213'</c:v>
                </c:pt>
                <c:pt idx="5">
                  <c:v>172.16.140.233'</c:v>
                </c:pt>
                <c:pt idx="6">
                  <c:v>172.16.143.61'</c:v>
                </c:pt>
                <c:pt idx="7">
                  <c:v>172.16.147.69'</c:v>
                </c:pt>
                <c:pt idx="8">
                  <c:v>172.16.145.247'</c:v>
                </c:pt>
                <c:pt idx="9">
                  <c:v>172.16.145.74'</c:v>
                </c:pt>
                <c:pt idx="10">
                  <c:v>172.16.140.34'</c:v>
                </c:pt>
                <c:pt idx="11">
                  <c:v>172.16.135.238'</c:v>
                </c:pt>
                <c:pt idx="12">
                  <c:v>172.16.144.246'</c:v>
                </c:pt>
                <c:pt idx="13">
                  <c:v>172.16.136.53'</c:v>
                </c:pt>
                <c:pt idx="14">
                  <c:v>172.16.135.9'</c:v>
                </c:pt>
                <c:pt idx="15">
                  <c:v>172.16.139.96'</c:v>
                </c:pt>
                <c:pt idx="16">
                  <c:v>172.16.145.58'</c:v>
                </c:pt>
                <c:pt idx="17">
                  <c:v>172.16.134.131'</c:v>
                </c:pt>
                <c:pt idx="18">
                  <c:v>172.16.146.48'</c:v>
                </c:pt>
                <c:pt idx="19">
                  <c:v>172.16.135.130'</c:v>
                </c:pt>
                <c:pt idx="20">
                  <c:v>172.16.143.7'</c:v>
                </c:pt>
                <c:pt idx="21">
                  <c:v>172.16.136.29'</c:v>
                </c:pt>
                <c:pt idx="22">
                  <c:v>172.16.146.68'</c:v>
                </c:pt>
                <c:pt idx="23">
                  <c:v>172.16.140.198'</c:v>
                </c:pt>
                <c:pt idx="24">
                  <c:v>172.16.145.111'</c:v>
                </c:pt>
                <c:pt idx="25">
                  <c:v>172.16.139.111'</c:v>
                </c:pt>
                <c:pt idx="26">
                  <c:v>172.16.147.16'</c:v>
                </c:pt>
                <c:pt idx="27">
                  <c:v>172.16.133.79'</c:v>
                </c:pt>
                <c:pt idx="28">
                  <c:v>172.16.137.195'</c:v>
                </c:pt>
                <c:pt idx="29">
                  <c:v>172.16.140.61'</c:v>
                </c:pt>
                <c:pt idx="30">
                  <c:v>172.16.135.88'</c:v>
                </c:pt>
                <c:pt idx="31">
                  <c:v>172.16.140.204'</c:v>
                </c:pt>
                <c:pt idx="32">
                  <c:v>172.16.142.74'</c:v>
                </c:pt>
                <c:pt idx="33">
                  <c:v>172.16.145.8'</c:v>
                </c:pt>
                <c:pt idx="34">
                  <c:v>172.16.133.134'</c:v>
                </c:pt>
                <c:pt idx="35">
                  <c:v>172.16.138.187'</c:v>
                </c:pt>
                <c:pt idx="36">
                  <c:v>172.16.145.237'</c:v>
                </c:pt>
                <c:pt idx="37">
                  <c:v>Otros</c:v>
                </c:pt>
              </c:strCache>
            </c:strRef>
          </c:cat>
          <c:val>
            <c:numRef>
              <c:f>'Graficos Paquetes'!$Q$4:$Q$41</c:f>
              <c:numCache>
                <c:formatCode>0.00</c:formatCode>
                <c:ptCount val="38"/>
                <c:pt idx="0">
                  <c:v>2.9334872878487053</c:v>
                </c:pt>
                <c:pt idx="1">
                  <c:v>0.3010299956639812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</c:ser>
        <c:ser>
          <c:idx val="1"/>
          <c:order val="1"/>
          <c:tx>
            <c:strRef>
              <c:f>'Graficos Paquetes'!$R$3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'Graficos Paquetes'!$N$4:$N$41</c:f>
              <c:strCache>
                <c:ptCount val="38"/>
                <c:pt idx="0">
                  <c:v>172.16.0.1'</c:v>
                </c:pt>
                <c:pt idx="1">
                  <c:v>172.16.146.19'</c:v>
                </c:pt>
                <c:pt idx="2">
                  <c:v>172.16.135.7'</c:v>
                </c:pt>
                <c:pt idx="3">
                  <c:v>172.16.146.78'</c:v>
                </c:pt>
                <c:pt idx="4">
                  <c:v>172.16.145.213'</c:v>
                </c:pt>
                <c:pt idx="5">
                  <c:v>172.16.140.233'</c:v>
                </c:pt>
                <c:pt idx="6">
                  <c:v>172.16.143.61'</c:v>
                </c:pt>
                <c:pt idx="7">
                  <c:v>172.16.147.69'</c:v>
                </c:pt>
                <c:pt idx="8">
                  <c:v>172.16.145.247'</c:v>
                </c:pt>
                <c:pt idx="9">
                  <c:v>172.16.145.74'</c:v>
                </c:pt>
                <c:pt idx="10">
                  <c:v>172.16.140.34'</c:v>
                </c:pt>
                <c:pt idx="11">
                  <c:v>172.16.135.238'</c:v>
                </c:pt>
                <c:pt idx="12">
                  <c:v>172.16.144.246'</c:v>
                </c:pt>
                <c:pt idx="13">
                  <c:v>172.16.136.53'</c:v>
                </c:pt>
                <c:pt idx="14">
                  <c:v>172.16.135.9'</c:v>
                </c:pt>
                <c:pt idx="15">
                  <c:v>172.16.139.96'</c:v>
                </c:pt>
                <c:pt idx="16">
                  <c:v>172.16.145.58'</c:v>
                </c:pt>
                <c:pt idx="17">
                  <c:v>172.16.134.131'</c:v>
                </c:pt>
                <c:pt idx="18">
                  <c:v>172.16.146.48'</c:v>
                </c:pt>
                <c:pt idx="19">
                  <c:v>172.16.135.130'</c:v>
                </c:pt>
                <c:pt idx="20">
                  <c:v>172.16.143.7'</c:v>
                </c:pt>
                <c:pt idx="21">
                  <c:v>172.16.136.29'</c:v>
                </c:pt>
                <c:pt idx="22">
                  <c:v>172.16.146.68'</c:v>
                </c:pt>
                <c:pt idx="23">
                  <c:v>172.16.140.198'</c:v>
                </c:pt>
                <c:pt idx="24">
                  <c:v>172.16.145.111'</c:v>
                </c:pt>
                <c:pt idx="25">
                  <c:v>172.16.139.111'</c:v>
                </c:pt>
                <c:pt idx="26">
                  <c:v>172.16.147.16'</c:v>
                </c:pt>
                <c:pt idx="27">
                  <c:v>172.16.133.79'</c:v>
                </c:pt>
                <c:pt idx="28">
                  <c:v>172.16.137.195'</c:v>
                </c:pt>
                <c:pt idx="29">
                  <c:v>172.16.140.61'</c:v>
                </c:pt>
                <c:pt idx="30">
                  <c:v>172.16.135.88'</c:v>
                </c:pt>
                <c:pt idx="31">
                  <c:v>172.16.140.204'</c:v>
                </c:pt>
                <c:pt idx="32">
                  <c:v>172.16.142.74'</c:v>
                </c:pt>
                <c:pt idx="33">
                  <c:v>172.16.145.8'</c:v>
                </c:pt>
                <c:pt idx="34">
                  <c:v>172.16.133.134'</c:v>
                </c:pt>
                <c:pt idx="35">
                  <c:v>172.16.138.187'</c:v>
                </c:pt>
                <c:pt idx="36">
                  <c:v>172.16.145.237'</c:v>
                </c:pt>
                <c:pt idx="37">
                  <c:v>Otros</c:v>
                </c:pt>
              </c:strCache>
            </c:strRef>
          </c:cat>
          <c:val>
            <c:numRef>
              <c:f>'Graficos Paquetes'!$R$4:$R$41</c:f>
              <c:numCache>
                <c:formatCode>0.00</c:formatCode>
                <c:ptCount val="38"/>
                <c:pt idx="0">
                  <c:v>0.3010299956639812</c:v>
                </c:pt>
                <c:pt idx="1">
                  <c:v>0.69897000433601886</c:v>
                </c:pt>
                <c:pt idx="2">
                  <c:v>1.9395192526186185</c:v>
                </c:pt>
                <c:pt idx="3">
                  <c:v>1.8573324964312685</c:v>
                </c:pt>
                <c:pt idx="4">
                  <c:v>1.7923916894982539</c:v>
                </c:pt>
                <c:pt idx="5">
                  <c:v>1.7781512503836436</c:v>
                </c:pt>
                <c:pt idx="6">
                  <c:v>1.6901960800285136</c:v>
                </c:pt>
                <c:pt idx="7">
                  <c:v>1.6020599913279623</c:v>
                </c:pt>
                <c:pt idx="8">
                  <c:v>1.5440680443502757</c:v>
                </c:pt>
                <c:pt idx="9">
                  <c:v>1.5440680443502757</c:v>
                </c:pt>
                <c:pt idx="10">
                  <c:v>1.5185139398778875</c:v>
                </c:pt>
                <c:pt idx="11">
                  <c:v>1.4623979978989561</c:v>
                </c:pt>
                <c:pt idx="12">
                  <c:v>1.4623979978989561</c:v>
                </c:pt>
                <c:pt idx="13">
                  <c:v>1.4313637641589874</c:v>
                </c:pt>
                <c:pt idx="14">
                  <c:v>1.3617278360175928</c:v>
                </c:pt>
                <c:pt idx="15">
                  <c:v>1.3424226808222062</c:v>
                </c:pt>
                <c:pt idx="16">
                  <c:v>1.3222192947339193</c:v>
                </c:pt>
                <c:pt idx="17">
                  <c:v>1.3010299956639813</c:v>
                </c:pt>
                <c:pt idx="18">
                  <c:v>1.3010299956639813</c:v>
                </c:pt>
                <c:pt idx="19">
                  <c:v>1.1760912590556813</c:v>
                </c:pt>
                <c:pt idx="20">
                  <c:v>1.1760912590556813</c:v>
                </c:pt>
                <c:pt idx="21">
                  <c:v>1.1139433523068367</c:v>
                </c:pt>
                <c:pt idx="22">
                  <c:v>1.1139433523068367</c:v>
                </c:pt>
                <c:pt idx="23">
                  <c:v>1.0413926851582251</c:v>
                </c:pt>
                <c:pt idx="24">
                  <c:v>1.0413926851582251</c:v>
                </c:pt>
                <c:pt idx="25">
                  <c:v>1</c:v>
                </c:pt>
                <c:pt idx="26">
                  <c:v>0.95424250943932487</c:v>
                </c:pt>
                <c:pt idx="27">
                  <c:v>0.90308998699194354</c:v>
                </c:pt>
                <c:pt idx="28">
                  <c:v>0.90308998699194354</c:v>
                </c:pt>
                <c:pt idx="29">
                  <c:v>0.90308998699194354</c:v>
                </c:pt>
                <c:pt idx="30">
                  <c:v>0.84509804001425681</c:v>
                </c:pt>
                <c:pt idx="31">
                  <c:v>0.84509804001425681</c:v>
                </c:pt>
                <c:pt idx="32">
                  <c:v>0.84509804001425681</c:v>
                </c:pt>
                <c:pt idx="33">
                  <c:v>0.84509804001425681</c:v>
                </c:pt>
                <c:pt idx="34">
                  <c:v>0.69897000433601886</c:v>
                </c:pt>
                <c:pt idx="35">
                  <c:v>0.6020599913279624</c:v>
                </c:pt>
                <c:pt idx="36">
                  <c:v>0.6020599913279624</c:v>
                </c:pt>
                <c:pt idx="37">
                  <c:v>0.47712125471966244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672120"/>
        <c:axId val="241722824"/>
      </c:barChart>
      <c:catAx>
        <c:axId val="241672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Host (IP)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1722824"/>
        <c:crosses val="autoZero"/>
        <c:auto val="1"/>
        <c:lblAlgn val="ctr"/>
        <c:lblOffset val="100"/>
        <c:noMultiLvlLbl val="0"/>
      </c:catAx>
      <c:valAx>
        <c:axId val="24172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Cantidad de Paquetes (escala log)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167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Paquetes ARP (IS-AT) por Host</a:t>
            </a:r>
          </a:p>
        </c:rich>
      </c:tx>
      <c:layout>
        <c:manualLayout>
          <c:xMode val="edge"/>
          <c:yMode val="edge"/>
          <c:x val="0.3872896715097355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0496144407355286"/>
          <c:y val="0.1784793373696274"/>
          <c:w val="0.86590989272574315"/>
          <c:h val="0.591415911718559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'Graficos Paquetes'!$X$3</c:f>
              <c:strCache>
                <c:ptCount val="1"/>
                <c:pt idx="0">
                  <c:v>Source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Paquetes'!$U$4:$U$20</c:f>
              <c:strCache>
                <c:ptCount val="17"/>
                <c:pt idx="0">
                  <c:v>172.16.0.1'</c:v>
                </c:pt>
                <c:pt idx="1">
                  <c:v>172.16.146.19'</c:v>
                </c:pt>
                <c:pt idx="2">
                  <c:v>172.16.255.242'</c:v>
                </c:pt>
                <c:pt idx="3">
                  <c:v>172.16.135.238'</c:v>
                </c:pt>
                <c:pt idx="4">
                  <c:v>172.16.143.78'</c:v>
                </c:pt>
                <c:pt idx="5">
                  <c:v>172.16.145.247'</c:v>
                </c:pt>
                <c:pt idx="6">
                  <c:v>172.16.138.187'</c:v>
                </c:pt>
                <c:pt idx="7">
                  <c:v>172.16.144.246'</c:v>
                </c:pt>
                <c:pt idx="8">
                  <c:v>172.16.145.8'</c:v>
                </c:pt>
                <c:pt idx="9">
                  <c:v>172.16.135.7'</c:v>
                </c:pt>
                <c:pt idx="10">
                  <c:v>172.16.135.88'</c:v>
                </c:pt>
                <c:pt idx="11">
                  <c:v>172.16.145.111'</c:v>
                </c:pt>
                <c:pt idx="12">
                  <c:v>172.16.146.107'</c:v>
                </c:pt>
                <c:pt idx="13">
                  <c:v>172.16.145.74'</c:v>
                </c:pt>
                <c:pt idx="14">
                  <c:v>172.16.145.213'</c:v>
                </c:pt>
                <c:pt idx="15">
                  <c:v>172.16.146.78'</c:v>
                </c:pt>
                <c:pt idx="16">
                  <c:v>Otros</c:v>
                </c:pt>
              </c:strCache>
            </c:strRef>
          </c:cat>
          <c:val>
            <c:numRef>
              <c:f>'Graficos Paquetes'!$X$4:$X$20</c:f>
              <c:numCache>
                <c:formatCode>0.00</c:formatCode>
                <c:ptCount val="17"/>
                <c:pt idx="0">
                  <c:v>2.2095150145426308</c:v>
                </c:pt>
                <c:pt idx="1">
                  <c:v>0.69897000433601886</c:v>
                </c:pt>
                <c:pt idx="2">
                  <c:v>0.3010299956639812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1"/>
          <c:tx>
            <c:strRef>
              <c:f>'Graficos Paquetes'!$Y$3</c:f>
              <c:strCache>
                <c:ptCount val="1"/>
                <c:pt idx="0">
                  <c:v>Destination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'Graficos Paquetes'!$U$4:$U$20</c:f>
              <c:strCache>
                <c:ptCount val="17"/>
                <c:pt idx="0">
                  <c:v>172.16.0.1'</c:v>
                </c:pt>
                <c:pt idx="1">
                  <c:v>172.16.146.19'</c:v>
                </c:pt>
                <c:pt idx="2">
                  <c:v>172.16.255.242'</c:v>
                </c:pt>
                <c:pt idx="3">
                  <c:v>172.16.135.238'</c:v>
                </c:pt>
                <c:pt idx="4">
                  <c:v>172.16.143.78'</c:v>
                </c:pt>
                <c:pt idx="5">
                  <c:v>172.16.145.247'</c:v>
                </c:pt>
                <c:pt idx="6">
                  <c:v>172.16.138.187'</c:v>
                </c:pt>
                <c:pt idx="7">
                  <c:v>172.16.144.246'</c:v>
                </c:pt>
                <c:pt idx="8">
                  <c:v>172.16.145.8'</c:v>
                </c:pt>
                <c:pt idx="9">
                  <c:v>172.16.135.7'</c:v>
                </c:pt>
                <c:pt idx="10">
                  <c:v>172.16.135.88'</c:v>
                </c:pt>
                <c:pt idx="11">
                  <c:v>172.16.145.111'</c:v>
                </c:pt>
                <c:pt idx="12">
                  <c:v>172.16.146.107'</c:v>
                </c:pt>
                <c:pt idx="13">
                  <c:v>172.16.145.74'</c:v>
                </c:pt>
                <c:pt idx="14">
                  <c:v>172.16.145.213'</c:v>
                </c:pt>
                <c:pt idx="15">
                  <c:v>172.16.146.78'</c:v>
                </c:pt>
                <c:pt idx="16">
                  <c:v>Otros</c:v>
                </c:pt>
              </c:strCache>
            </c:strRef>
          </c:cat>
          <c:val>
            <c:numRef>
              <c:f>'Graficos Paquetes'!$Y$4:$Y$20</c:f>
              <c:numCache>
                <c:formatCode>0.00</c:formatCode>
                <c:ptCount val="17"/>
                <c:pt idx="0">
                  <c:v>0.69897000433601886</c:v>
                </c:pt>
                <c:pt idx="1">
                  <c:v>0.3010299956639812</c:v>
                </c:pt>
                <c:pt idx="2">
                  <c:v>0</c:v>
                </c:pt>
                <c:pt idx="3">
                  <c:v>1.2787536009528289</c:v>
                </c:pt>
                <c:pt idx="4">
                  <c:v>1.255272505103306</c:v>
                </c:pt>
                <c:pt idx="5">
                  <c:v>1.2041199826559248</c:v>
                </c:pt>
                <c:pt idx="6">
                  <c:v>1.0791812460476249</c:v>
                </c:pt>
                <c:pt idx="7">
                  <c:v>1.0413926851582251</c:v>
                </c:pt>
                <c:pt idx="8">
                  <c:v>0.95424250943932487</c:v>
                </c:pt>
                <c:pt idx="9">
                  <c:v>0.90308998699194354</c:v>
                </c:pt>
                <c:pt idx="10">
                  <c:v>0.77815125038364363</c:v>
                </c:pt>
                <c:pt idx="11">
                  <c:v>0.69897000433601886</c:v>
                </c:pt>
                <c:pt idx="12">
                  <c:v>0.69897000433601886</c:v>
                </c:pt>
                <c:pt idx="13">
                  <c:v>0.69897000433601886</c:v>
                </c:pt>
                <c:pt idx="14">
                  <c:v>0.6020599913279624</c:v>
                </c:pt>
                <c:pt idx="15">
                  <c:v>0.6020599913279624</c:v>
                </c:pt>
                <c:pt idx="16">
                  <c:v>0.47712125471966244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683680"/>
        <c:axId val="241707648"/>
      </c:barChart>
      <c:catAx>
        <c:axId val="24268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Host (IP)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1707648"/>
        <c:crosses val="autoZero"/>
        <c:auto val="1"/>
        <c:lblAlgn val="ctr"/>
        <c:lblOffset val="100"/>
        <c:noMultiLvlLbl val="0"/>
      </c:catAx>
      <c:valAx>
        <c:axId val="2417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Cantidad de Paquetes (escala log)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6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Probabilidad como Source</a:t>
            </a:r>
            <a:r>
              <a:rPr lang="es-AR" baseline="0"/>
              <a:t> para cada Host - ARP</a:t>
            </a:r>
            <a:endParaRPr lang="es-AR"/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0.22585982369332241"/>
                  <c:y val="5.5305449147157522E-2"/>
                </c:manualLayout>
              </c:layout>
              <c:dLblPos val="bestFit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29113428538680169"/>
                  <c:y val="0.11202163168459313"/>
                </c:manualLayout>
              </c:layout>
              <c:dLblPos val="bestFit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'Probabilidad SRC DST'!$A$4:$A$6</c:f>
              <c:strCache>
                <c:ptCount val="3"/>
                <c:pt idx="0">
                  <c:v>172.16.0.1'</c:v>
                </c:pt>
                <c:pt idx="1">
                  <c:v>172.16.146.19'</c:v>
                </c:pt>
                <c:pt idx="2">
                  <c:v>172.16.255.242'</c:v>
                </c:pt>
              </c:strCache>
            </c:strRef>
          </c:cat>
          <c:val>
            <c:numRef>
              <c:f>'Probabilidad SRC DST'!$C$4:$C$6</c:f>
              <c:numCache>
                <c:formatCode>0.00%</c:formatCode>
                <c:ptCount val="3"/>
                <c:pt idx="0">
                  <c:v>0.99125364431486884</c:v>
                </c:pt>
                <c:pt idx="1">
                  <c:v>6.8027210884353739E-3</c:v>
                </c:pt>
                <c:pt idx="2">
                  <c:v>1.9436345966958211E-3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Probabilidad como Destination</a:t>
            </a:r>
            <a:r>
              <a:rPr lang="es-AR" baseline="0"/>
              <a:t> para cada Host - ARP</a:t>
            </a:r>
            <a:endParaRPr lang="es-AR"/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'Probabilidad SRC DST'!$K$4:$K$20</c:f>
              <c:strCache>
                <c:ptCount val="17"/>
                <c:pt idx="0">
                  <c:v>172.16.135.7'</c:v>
                </c:pt>
                <c:pt idx="1">
                  <c:v>172.16.146.78'</c:v>
                </c:pt>
                <c:pt idx="2">
                  <c:v>172.16.145.213'</c:v>
                </c:pt>
                <c:pt idx="3">
                  <c:v>172.16.140.233'</c:v>
                </c:pt>
                <c:pt idx="4">
                  <c:v>172.16.143.61'</c:v>
                </c:pt>
                <c:pt idx="5">
                  <c:v>172.16.145.247'</c:v>
                </c:pt>
                <c:pt idx="6">
                  <c:v>172.16.135.238'</c:v>
                </c:pt>
                <c:pt idx="7">
                  <c:v>172.16.147.69'</c:v>
                </c:pt>
                <c:pt idx="8">
                  <c:v>172.16.145.74'</c:v>
                </c:pt>
                <c:pt idx="9">
                  <c:v>172.16.144.246'</c:v>
                </c:pt>
                <c:pt idx="10">
                  <c:v>172.16.140.34'</c:v>
                </c:pt>
                <c:pt idx="11">
                  <c:v>172.16.136.53'</c:v>
                </c:pt>
                <c:pt idx="12">
                  <c:v>172.16.135.9'</c:v>
                </c:pt>
                <c:pt idx="13">
                  <c:v>172.16.139.96'</c:v>
                </c:pt>
                <c:pt idx="14">
                  <c:v>172.16.134.131'</c:v>
                </c:pt>
                <c:pt idx="15">
                  <c:v>172.16.145.58'</c:v>
                </c:pt>
                <c:pt idx="16">
                  <c:v>Otros</c:v>
                </c:pt>
              </c:strCache>
            </c:strRef>
          </c:cat>
          <c:val>
            <c:numRef>
              <c:f>'Probabilidad SRC DST'!$M$4:$M$20</c:f>
              <c:numCache>
                <c:formatCode>0.00%</c:formatCode>
                <c:ptCount val="17"/>
                <c:pt idx="0">
                  <c:v>9.23226433430515E-2</c:v>
                </c:pt>
                <c:pt idx="1">
                  <c:v>7.38581146744412E-2</c:v>
                </c:pt>
                <c:pt idx="2">
                  <c:v>6.4139941690962099E-2</c:v>
                </c:pt>
                <c:pt idx="3">
                  <c:v>5.8309037900874633E-2</c:v>
                </c:pt>
                <c:pt idx="4">
                  <c:v>5.0534499514091349E-2</c:v>
                </c:pt>
                <c:pt idx="5">
                  <c:v>4.9562682215743441E-2</c:v>
                </c:pt>
                <c:pt idx="6">
                  <c:v>4.6647230320699708E-2</c:v>
                </c:pt>
                <c:pt idx="7">
                  <c:v>3.9844509232264333E-2</c:v>
                </c:pt>
                <c:pt idx="8">
                  <c:v>3.8872691933916424E-2</c:v>
                </c:pt>
                <c:pt idx="9">
                  <c:v>3.8872691933916424E-2</c:v>
                </c:pt>
                <c:pt idx="10">
                  <c:v>3.4985422740524783E-2</c:v>
                </c:pt>
                <c:pt idx="11">
                  <c:v>2.9154518950437316E-2</c:v>
                </c:pt>
                <c:pt idx="12">
                  <c:v>2.2351797862001945E-2</c:v>
                </c:pt>
                <c:pt idx="13">
                  <c:v>2.1379980563654033E-2</c:v>
                </c:pt>
                <c:pt idx="14">
                  <c:v>2.1379980563654033E-2</c:v>
                </c:pt>
                <c:pt idx="15">
                  <c:v>2.0408163265306121E-2</c:v>
                </c:pt>
                <c:pt idx="16">
                  <c:v>0.29737609329446063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14287</xdr:rowOff>
    </xdr:from>
    <xdr:to>
      <xdr:col>8</xdr:col>
      <xdr:colOff>528637</xdr:colOff>
      <xdr:row>16</xdr:row>
      <xdr:rowOff>90487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5</xdr:row>
          <xdr:rowOff>38100</xdr:rowOff>
        </xdr:from>
        <xdr:to>
          <xdr:col>6</xdr:col>
          <xdr:colOff>428625</xdr:colOff>
          <xdr:row>7</xdr:row>
          <xdr:rowOff>76200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347942</xdr:colOff>
      <xdr:row>41</xdr:row>
      <xdr:rowOff>161081</xdr:rowOff>
    </xdr:from>
    <xdr:to>
      <xdr:col>18</xdr:col>
      <xdr:colOff>224118</xdr:colOff>
      <xdr:row>66</xdr:row>
      <xdr:rowOff>118220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403410</xdr:colOff>
      <xdr:row>20</xdr:row>
      <xdr:rowOff>93570</xdr:rowOff>
    </xdr:from>
    <xdr:to>
      <xdr:col>30</xdr:col>
      <xdr:colOff>279586</xdr:colOff>
      <xdr:row>45</xdr:row>
      <xdr:rowOff>50709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166686</xdr:colOff>
      <xdr:row>6</xdr:row>
      <xdr:rowOff>180974</xdr:rowOff>
    </xdr:from>
    <xdr:to>
      <xdr:col>8</xdr:col>
      <xdr:colOff>247650</xdr:colOff>
      <xdr:row>30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20</xdr:row>
      <xdr:rowOff>104775</xdr:rowOff>
    </xdr:from>
    <xdr:to>
      <xdr:col>16</xdr:col>
      <xdr:colOff>357189</xdr:colOff>
      <xdr:row>44</xdr:row>
      <xdr:rowOff>85726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048"/>
  <sheetViews>
    <sheetView topLeftCell="A15" workbookViewId="0">
      <selection activeCell="B17" sqref="B17"/>
    </sheetView>
  </sheetViews>
  <sheetFormatPr baseColWidth="10" defaultRowHeight="15" x14ac:dyDescent="0.25"/>
  <cols>
    <col min="1" max="1" width="27.140625" style="5" bestFit="1" customWidth="1"/>
    <col min="2" max="16384" width="11.42578125" style="5"/>
  </cols>
  <sheetData>
    <row r="1" spans="1:2" x14ac:dyDescent="0.25">
      <c r="A1" s="6" t="s">
        <v>5</v>
      </c>
    </row>
    <row r="2" spans="1:2" x14ac:dyDescent="0.25">
      <c r="A2" s="8" t="s">
        <v>27</v>
      </c>
    </row>
    <row r="6" spans="1:2" x14ac:dyDescent="0.25">
      <c r="A6" s="5" t="s">
        <v>7</v>
      </c>
      <c r="B6" s="5" t="s">
        <v>120</v>
      </c>
    </row>
    <row r="7" spans="1:2" x14ac:dyDescent="0.25">
      <c r="A7" s="5" t="s">
        <v>8</v>
      </c>
      <c r="B7" s="5" t="s">
        <v>121</v>
      </c>
    </row>
    <row r="9" spans="1:2" x14ac:dyDescent="0.25">
      <c r="A9" s="5" t="s">
        <v>6</v>
      </c>
      <c r="B9" s="5" t="s">
        <v>122</v>
      </c>
    </row>
    <row r="10" spans="1:2" x14ac:dyDescent="0.25">
      <c r="A10" s="5" t="s">
        <v>9</v>
      </c>
      <c r="B10" s="5" t="s">
        <v>123</v>
      </c>
    </row>
    <row r="12" spans="1:2" x14ac:dyDescent="0.25">
      <c r="A12" s="5" t="s">
        <v>10</v>
      </c>
      <c r="B12" s="5" t="s">
        <v>124</v>
      </c>
    </row>
    <row r="14" spans="1:2" x14ac:dyDescent="0.25">
      <c r="A14" s="5" t="s">
        <v>13</v>
      </c>
      <c r="B14" s="5" t="s">
        <v>125</v>
      </c>
    </row>
    <row r="15" spans="1:2" x14ac:dyDescent="0.25">
      <c r="A15" s="5" t="s">
        <v>14</v>
      </c>
      <c r="B15" s="5" t="s">
        <v>126</v>
      </c>
    </row>
    <row r="16" spans="1:2" x14ac:dyDescent="0.25">
      <c r="A16" s="5" t="s">
        <v>15</v>
      </c>
      <c r="B16" s="5" t="s">
        <v>127</v>
      </c>
    </row>
    <row r="17" spans="1:2" x14ac:dyDescent="0.25">
      <c r="A17" s="5" t="s">
        <v>16</v>
      </c>
      <c r="B17" s="5" t="s">
        <v>128</v>
      </c>
    </row>
    <row r="20" spans="1:2" x14ac:dyDescent="0.25">
      <c r="A20" s="5" t="s">
        <v>28</v>
      </c>
    </row>
    <row r="21" spans="1:2" x14ac:dyDescent="0.25">
      <c r="A21" s="5" t="s">
        <v>29</v>
      </c>
    </row>
    <row r="22" spans="1:2" x14ac:dyDescent="0.25">
      <c r="A22" s="5" t="s">
        <v>30</v>
      </c>
      <c r="B22" s="7"/>
    </row>
    <row r="23" spans="1:2" x14ac:dyDescent="0.25">
      <c r="A23" s="7" t="s">
        <v>31</v>
      </c>
      <c r="B23" s="7"/>
    </row>
    <row r="24" spans="1:2" x14ac:dyDescent="0.25">
      <c r="A24" s="5" t="s">
        <v>32</v>
      </c>
      <c r="B24" s="7"/>
    </row>
    <row r="25" spans="1:2" x14ac:dyDescent="0.25">
      <c r="A25" s="5" t="s">
        <v>33</v>
      </c>
    </row>
    <row r="26" spans="1:2" x14ac:dyDescent="0.25">
      <c r="A26" s="5" t="s">
        <v>31</v>
      </c>
    </row>
    <row r="27" spans="1:2" x14ac:dyDescent="0.25">
      <c r="A27" s="5" t="s">
        <v>31</v>
      </c>
    </row>
    <row r="28" spans="1:2" x14ac:dyDescent="0.25">
      <c r="A28" s="5" t="s">
        <v>31</v>
      </c>
    </row>
    <row r="29" spans="1:2" x14ac:dyDescent="0.25">
      <c r="A29" s="5" t="s">
        <v>34</v>
      </c>
    </row>
    <row r="30" spans="1:2" x14ac:dyDescent="0.25">
      <c r="A30" s="5" t="s">
        <v>34</v>
      </c>
    </row>
    <row r="31" spans="1:2" x14ac:dyDescent="0.25">
      <c r="A31" s="5" t="s">
        <v>35</v>
      </c>
    </row>
    <row r="32" spans="1:2" x14ac:dyDescent="0.25">
      <c r="A32" s="5" t="s">
        <v>36</v>
      </c>
    </row>
    <row r="33" spans="1:1" x14ac:dyDescent="0.25">
      <c r="A33" s="5" t="s">
        <v>31</v>
      </c>
    </row>
    <row r="34" spans="1:1" x14ac:dyDescent="0.25">
      <c r="A34" s="5" t="s">
        <v>31</v>
      </c>
    </row>
    <row r="35" spans="1:1" x14ac:dyDescent="0.25">
      <c r="A35" s="5" t="s">
        <v>37</v>
      </c>
    </row>
    <row r="36" spans="1:1" x14ac:dyDescent="0.25">
      <c r="A36" s="5" t="s">
        <v>37</v>
      </c>
    </row>
    <row r="37" spans="1:1" x14ac:dyDescent="0.25">
      <c r="A37" s="5" t="s">
        <v>31</v>
      </c>
    </row>
    <row r="38" spans="1:1" x14ac:dyDescent="0.25">
      <c r="A38" s="5" t="s">
        <v>38</v>
      </c>
    </row>
    <row r="39" spans="1:1" x14ac:dyDescent="0.25">
      <c r="A39" s="5" t="s">
        <v>31</v>
      </c>
    </row>
    <row r="40" spans="1:1" x14ac:dyDescent="0.25">
      <c r="A40" s="5" t="s">
        <v>39</v>
      </c>
    </row>
    <row r="41" spans="1:1" x14ac:dyDescent="0.25">
      <c r="A41" s="5" t="s">
        <v>38</v>
      </c>
    </row>
    <row r="42" spans="1:1" x14ac:dyDescent="0.25">
      <c r="A42" s="5" t="s">
        <v>38</v>
      </c>
    </row>
    <row r="43" spans="1:1" x14ac:dyDescent="0.25">
      <c r="A43" s="5" t="s">
        <v>40</v>
      </c>
    </row>
    <row r="44" spans="1:1" x14ac:dyDescent="0.25">
      <c r="A44" s="5" t="s">
        <v>41</v>
      </c>
    </row>
    <row r="45" spans="1:1" x14ac:dyDescent="0.25">
      <c r="A45" s="5" t="s">
        <v>42</v>
      </c>
    </row>
    <row r="46" spans="1:1" x14ac:dyDescent="0.25">
      <c r="A46" s="5" t="s">
        <v>42</v>
      </c>
    </row>
    <row r="47" spans="1:1" x14ac:dyDescent="0.25">
      <c r="A47" s="5" t="s">
        <v>42</v>
      </c>
    </row>
    <row r="48" spans="1:1" x14ac:dyDescent="0.25">
      <c r="A48" s="5" t="s">
        <v>42</v>
      </c>
    </row>
    <row r="49" spans="1:1" x14ac:dyDescent="0.25">
      <c r="A49" s="5" t="s">
        <v>43</v>
      </c>
    </row>
    <row r="50" spans="1:1" x14ac:dyDescent="0.25">
      <c r="A50" s="5" t="s">
        <v>36</v>
      </c>
    </row>
    <row r="51" spans="1:1" x14ac:dyDescent="0.25">
      <c r="A51" s="5" t="s">
        <v>34</v>
      </c>
    </row>
    <row r="52" spans="1:1" x14ac:dyDescent="0.25">
      <c r="A52" s="5" t="s">
        <v>34</v>
      </c>
    </row>
    <row r="53" spans="1:1" x14ac:dyDescent="0.25">
      <c r="A53" s="5" t="s">
        <v>44</v>
      </c>
    </row>
    <row r="54" spans="1:1" x14ac:dyDescent="0.25">
      <c r="A54" s="5" t="s">
        <v>41</v>
      </c>
    </row>
    <row r="55" spans="1:1" x14ac:dyDescent="0.25">
      <c r="A55" s="5" t="s">
        <v>41</v>
      </c>
    </row>
    <row r="56" spans="1:1" x14ac:dyDescent="0.25">
      <c r="A56" s="5" t="s">
        <v>41</v>
      </c>
    </row>
    <row r="57" spans="1:1" x14ac:dyDescent="0.25">
      <c r="A57" s="5" t="s">
        <v>45</v>
      </c>
    </row>
    <row r="58" spans="1:1" x14ac:dyDescent="0.25">
      <c r="A58" s="5" t="s">
        <v>37</v>
      </c>
    </row>
    <row r="59" spans="1:1" x14ac:dyDescent="0.25">
      <c r="A59" s="5" t="s">
        <v>38</v>
      </c>
    </row>
    <row r="60" spans="1:1" x14ac:dyDescent="0.25">
      <c r="A60" s="5" t="s">
        <v>38</v>
      </c>
    </row>
    <row r="61" spans="1:1" x14ac:dyDescent="0.25">
      <c r="A61" s="5" t="s">
        <v>38</v>
      </c>
    </row>
    <row r="62" spans="1:1" x14ac:dyDescent="0.25">
      <c r="A62" s="5" t="s">
        <v>38</v>
      </c>
    </row>
    <row r="63" spans="1:1" x14ac:dyDescent="0.25">
      <c r="A63" s="5" t="s">
        <v>38</v>
      </c>
    </row>
    <row r="64" spans="1:1" x14ac:dyDescent="0.25">
      <c r="A64" s="5" t="s">
        <v>38</v>
      </c>
    </row>
    <row r="65" spans="1:1" x14ac:dyDescent="0.25">
      <c r="A65" s="5" t="s">
        <v>46</v>
      </c>
    </row>
    <row r="66" spans="1:1" x14ac:dyDescent="0.25">
      <c r="A66" s="5" t="s">
        <v>47</v>
      </c>
    </row>
    <row r="67" spans="1:1" x14ac:dyDescent="0.25">
      <c r="A67" s="5" t="s">
        <v>47</v>
      </c>
    </row>
    <row r="68" spans="1:1" x14ac:dyDescent="0.25">
      <c r="A68" s="5" t="s">
        <v>47</v>
      </c>
    </row>
    <row r="69" spans="1:1" x14ac:dyDescent="0.25">
      <c r="A69" s="5" t="s">
        <v>39</v>
      </c>
    </row>
    <row r="70" spans="1:1" x14ac:dyDescent="0.25">
      <c r="A70" s="5" t="s">
        <v>48</v>
      </c>
    </row>
    <row r="71" spans="1:1" x14ac:dyDescent="0.25">
      <c r="A71" s="5" t="s">
        <v>48</v>
      </c>
    </row>
    <row r="72" spans="1:1" x14ac:dyDescent="0.25">
      <c r="A72" s="5" t="s">
        <v>48</v>
      </c>
    </row>
    <row r="73" spans="1:1" x14ac:dyDescent="0.25">
      <c r="A73" s="5" t="s">
        <v>49</v>
      </c>
    </row>
    <row r="74" spans="1:1" x14ac:dyDescent="0.25">
      <c r="A74" s="5" t="s">
        <v>48</v>
      </c>
    </row>
    <row r="75" spans="1:1" x14ac:dyDescent="0.25">
      <c r="A75" s="5" t="s">
        <v>48</v>
      </c>
    </row>
    <row r="76" spans="1:1" x14ac:dyDescent="0.25">
      <c r="A76" s="5" t="s">
        <v>50</v>
      </c>
    </row>
    <row r="77" spans="1:1" x14ac:dyDescent="0.25">
      <c r="A77" s="5" t="s">
        <v>51</v>
      </c>
    </row>
    <row r="78" spans="1:1" x14ac:dyDescent="0.25">
      <c r="A78" s="5" t="s">
        <v>48</v>
      </c>
    </row>
    <row r="79" spans="1:1" x14ac:dyDescent="0.25">
      <c r="A79" s="5" t="s">
        <v>48</v>
      </c>
    </row>
    <row r="80" spans="1:1" x14ac:dyDescent="0.25">
      <c r="A80" s="5" t="s">
        <v>48</v>
      </c>
    </row>
    <row r="81" spans="1:1" x14ac:dyDescent="0.25">
      <c r="A81" s="5" t="s">
        <v>48</v>
      </c>
    </row>
    <row r="82" spans="1:1" x14ac:dyDescent="0.25">
      <c r="A82" s="5" t="s">
        <v>52</v>
      </c>
    </row>
    <row r="83" spans="1:1" x14ac:dyDescent="0.25">
      <c r="A83" s="5" t="s">
        <v>53</v>
      </c>
    </row>
    <row r="84" spans="1:1" x14ac:dyDescent="0.25">
      <c r="A84" s="5" t="s">
        <v>31</v>
      </c>
    </row>
    <row r="85" spans="1:1" x14ac:dyDescent="0.25">
      <c r="A85" s="5" t="s">
        <v>31</v>
      </c>
    </row>
    <row r="86" spans="1:1" x14ac:dyDescent="0.25">
      <c r="A86" s="5" t="s">
        <v>31</v>
      </c>
    </row>
    <row r="87" spans="1:1" x14ac:dyDescent="0.25">
      <c r="A87" s="5" t="s">
        <v>31</v>
      </c>
    </row>
    <row r="88" spans="1:1" x14ac:dyDescent="0.25">
      <c r="A88" s="5" t="s">
        <v>31</v>
      </c>
    </row>
    <row r="89" spans="1:1" x14ac:dyDescent="0.25">
      <c r="A89" s="5" t="s">
        <v>31</v>
      </c>
    </row>
    <row r="90" spans="1:1" x14ac:dyDescent="0.25">
      <c r="A90" s="5" t="s">
        <v>54</v>
      </c>
    </row>
    <row r="91" spans="1:1" x14ac:dyDescent="0.25">
      <c r="A91" s="5" t="s">
        <v>31</v>
      </c>
    </row>
    <row r="92" spans="1:1" x14ac:dyDescent="0.25">
      <c r="A92" s="5" t="s">
        <v>54</v>
      </c>
    </row>
    <row r="93" spans="1:1" x14ac:dyDescent="0.25">
      <c r="A93" s="5" t="s">
        <v>31</v>
      </c>
    </row>
    <row r="94" spans="1:1" x14ac:dyDescent="0.25">
      <c r="A94" s="5" t="s">
        <v>31</v>
      </c>
    </row>
    <row r="95" spans="1:1" x14ac:dyDescent="0.25">
      <c r="A95" s="5" t="s">
        <v>43</v>
      </c>
    </row>
    <row r="96" spans="1:1" x14ac:dyDescent="0.25">
      <c r="A96" s="5" t="s">
        <v>43</v>
      </c>
    </row>
    <row r="97" spans="1:1" x14ac:dyDescent="0.25">
      <c r="A97" s="5" t="s">
        <v>43</v>
      </c>
    </row>
    <row r="98" spans="1:1" x14ac:dyDescent="0.25">
      <c r="A98" s="5" t="s">
        <v>31</v>
      </c>
    </row>
    <row r="99" spans="1:1" x14ac:dyDescent="0.25">
      <c r="A99" s="5" t="s">
        <v>43</v>
      </c>
    </row>
    <row r="100" spans="1:1" x14ac:dyDescent="0.25">
      <c r="A100" s="5" t="s">
        <v>55</v>
      </c>
    </row>
    <row r="101" spans="1:1" x14ac:dyDescent="0.25">
      <c r="A101" s="5" t="s">
        <v>56</v>
      </c>
    </row>
    <row r="102" spans="1:1" x14ac:dyDescent="0.25">
      <c r="A102" s="5" t="s">
        <v>56</v>
      </c>
    </row>
    <row r="103" spans="1:1" x14ac:dyDescent="0.25">
      <c r="A103" s="5" t="s">
        <v>56</v>
      </c>
    </row>
    <row r="104" spans="1:1" x14ac:dyDescent="0.25">
      <c r="A104" s="5" t="s">
        <v>56</v>
      </c>
    </row>
    <row r="105" spans="1:1" x14ac:dyDescent="0.25">
      <c r="A105" s="5" t="s">
        <v>56</v>
      </c>
    </row>
    <row r="106" spans="1:1" x14ac:dyDescent="0.25">
      <c r="A106" s="5" t="s">
        <v>56</v>
      </c>
    </row>
    <row r="107" spans="1:1" x14ac:dyDescent="0.25">
      <c r="A107" s="5" t="s">
        <v>56</v>
      </c>
    </row>
    <row r="108" spans="1:1" x14ac:dyDescent="0.25">
      <c r="A108" s="5" t="s">
        <v>56</v>
      </c>
    </row>
    <row r="109" spans="1:1" x14ac:dyDescent="0.25">
      <c r="A109" s="5" t="s">
        <v>56</v>
      </c>
    </row>
    <row r="110" spans="1:1" x14ac:dyDescent="0.25">
      <c r="A110" s="5" t="s">
        <v>56</v>
      </c>
    </row>
    <row r="111" spans="1:1" x14ac:dyDescent="0.25">
      <c r="A111" s="5" t="s">
        <v>56</v>
      </c>
    </row>
    <row r="112" spans="1:1" x14ac:dyDescent="0.25">
      <c r="A112" s="5" t="s">
        <v>56</v>
      </c>
    </row>
    <row r="113" spans="1:1" x14ac:dyDescent="0.25">
      <c r="A113" s="5" t="s">
        <v>31</v>
      </c>
    </row>
    <row r="114" spans="1:1" x14ac:dyDescent="0.25">
      <c r="A114" s="5" t="s">
        <v>32</v>
      </c>
    </row>
    <row r="115" spans="1:1" x14ac:dyDescent="0.25">
      <c r="A115" s="5" t="s">
        <v>33</v>
      </c>
    </row>
    <row r="116" spans="1:1" x14ac:dyDescent="0.25">
      <c r="A116" s="5" t="s">
        <v>57</v>
      </c>
    </row>
    <row r="117" spans="1:1" x14ac:dyDescent="0.25">
      <c r="A117" s="5" t="s">
        <v>57</v>
      </c>
    </row>
    <row r="118" spans="1:1" x14ac:dyDescent="0.25">
      <c r="A118" s="5" t="s">
        <v>57</v>
      </c>
    </row>
    <row r="119" spans="1:1" x14ac:dyDescent="0.25">
      <c r="A119" s="5" t="s">
        <v>43</v>
      </c>
    </row>
    <row r="120" spans="1:1" x14ac:dyDescent="0.25">
      <c r="A120" s="5" t="s">
        <v>31</v>
      </c>
    </row>
    <row r="121" spans="1:1" x14ac:dyDescent="0.25">
      <c r="A121" s="5" t="s">
        <v>31</v>
      </c>
    </row>
    <row r="122" spans="1:1" x14ac:dyDescent="0.25">
      <c r="A122" s="5" t="s">
        <v>58</v>
      </c>
    </row>
    <row r="123" spans="1:1" x14ac:dyDescent="0.25">
      <c r="A123" s="5" t="s">
        <v>58</v>
      </c>
    </row>
    <row r="124" spans="1:1" x14ac:dyDescent="0.25">
      <c r="A124" s="5" t="s">
        <v>58</v>
      </c>
    </row>
    <row r="125" spans="1:1" x14ac:dyDescent="0.25">
      <c r="A125" s="5" t="s">
        <v>58</v>
      </c>
    </row>
    <row r="126" spans="1:1" x14ac:dyDescent="0.25">
      <c r="A126" s="5" t="s">
        <v>59</v>
      </c>
    </row>
    <row r="127" spans="1:1" x14ac:dyDescent="0.25">
      <c r="A127" s="5" t="s">
        <v>31</v>
      </c>
    </row>
    <row r="128" spans="1:1" x14ac:dyDescent="0.25">
      <c r="A128" s="5" t="s">
        <v>31</v>
      </c>
    </row>
    <row r="129" spans="1:1" x14ac:dyDescent="0.25">
      <c r="A129" s="5" t="s">
        <v>43</v>
      </c>
    </row>
    <row r="130" spans="1:1" x14ac:dyDescent="0.25">
      <c r="A130" s="5" t="s">
        <v>43</v>
      </c>
    </row>
    <row r="131" spans="1:1" x14ac:dyDescent="0.25">
      <c r="A131" s="5" t="s">
        <v>31</v>
      </c>
    </row>
    <row r="132" spans="1:1" x14ac:dyDescent="0.25">
      <c r="A132" s="5" t="s">
        <v>31</v>
      </c>
    </row>
    <row r="133" spans="1:1" x14ac:dyDescent="0.25">
      <c r="A133" s="5" t="s">
        <v>43</v>
      </c>
    </row>
    <row r="134" spans="1:1" x14ac:dyDescent="0.25">
      <c r="A134" s="5" t="s">
        <v>31</v>
      </c>
    </row>
    <row r="135" spans="1:1" x14ac:dyDescent="0.25">
      <c r="A135" s="5" t="s">
        <v>31</v>
      </c>
    </row>
    <row r="136" spans="1:1" x14ac:dyDescent="0.25">
      <c r="A136" s="5" t="s">
        <v>31</v>
      </c>
    </row>
    <row r="137" spans="1:1" x14ac:dyDescent="0.25">
      <c r="A137" s="5" t="s">
        <v>28</v>
      </c>
    </row>
    <row r="138" spans="1:1" x14ac:dyDescent="0.25">
      <c r="A138" s="5" t="s">
        <v>31</v>
      </c>
    </row>
    <row r="139" spans="1:1" x14ac:dyDescent="0.25">
      <c r="A139" s="5" t="s">
        <v>49</v>
      </c>
    </row>
    <row r="140" spans="1:1" x14ac:dyDescent="0.25">
      <c r="A140" s="5" t="s">
        <v>38</v>
      </c>
    </row>
    <row r="141" spans="1:1" x14ac:dyDescent="0.25">
      <c r="A141" s="5" t="s">
        <v>49</v>
      </c>
    </row>
    <row r="142" spans="1:1" x14ac:dyDescent="0.25">
      <c r="A142" s="5" t="s">
        <v>60</v>
      </c>
    </row>
    <row r="143" spans="1:1" x14ac:dyDescent="0.25">
      <c r="A143" s="5" t="s">
        <v>31</v>
      </c>
    </row>
    <row r="144" spans="1:1" x14ac:dyDescent="0.25">
      <c r="A144" s="5" t="s">
        <v>31</v>
      </c>
    </row>
    <row r="145" spans="1:1" x14ac:dyDescent="0.25">
      <c r="A145" s="5" t="s">
        <v>31</v>
      </c>
    </row>
    <row r="146" spans="1:1" x14ac:dyDescent="0.25">
      <c r="A146" s="5" t="s">
        <v>60</v>
      </c>
    </row>
    <row r="147" spans="1:1" x14ac:dyDescent="0.25">
      <c r="A147" s="5" t="s">
        <v>31</v>
      </c>
    </row>
    <row r="148" spans="1:1" x14ac:dyDescent="0.25">
      <c r="A148" s="5" t="s">
        <v>31</v>
      </c>
    </row>
    <row r="149" spans="1:1" x14ac:dyDescent="0.25">
      <c r="A149" s="5" t="s">
        <v>31</v>
      </c>
    </row>
    <row r="150" spans="1:1" x14ac:dyDescent="0.25">
      <c r="A150" s="5" t="s">
        <v>31</v>
      </c>
    </row>
    <row r="151" spans="1:1" x14ac:dyDescent="0.25">
      <c r="A151" s="5" t="s">
        <v>61</v>
      </c>
    </row>
    <row r="152" spans="1:1" x14ac:dyDescent="0.25">
      <c r="A152" s="5" t="s">
        <v>61</v>
      </c>
    </row>
    <row r="153" spans="1:1" x14ac:dyDescent="0.25">
      <c r="A153" s="5" t="s">
        <v>61</v>
      </c>
    </row>
    <row r="154" spans="1:1" x14ac:dyDescent="0.25">
      <c r="A154" s="5" t="s">
        <v>61</v>
      </c>
    </row>
    <row r="155" spans="1:1" x14ac:dyDescent="0.25">
      <c r="A155" s="5" t="s">
        <v>61</v>
      </c>
    </row>
    <row r="156" spans="1:1" x14ac:dyDescent="0.25">
      <c r="A156" s="5" t="s">
        <v>61</v>
      </c>
    </row>
    <row r="157" spans="1:1" x14ac:dyDescent="0.25">
      <c r="A157" s="5" t="s">
        <v>61</v>
      </c>
    </row>
    <row r="158" spans="1:1" x14ac:dyDescent="0.25">
      <c r="A158" s="5" t="s">
        <v>61</v>
      </c>
    </row>
    <row r="159" spans="1:1" x14ac:dyDescent="0.25">
      <c r="A159" s="5" t="s">
        <v>61</v>
      </c>
    </row>
    <row r="160" spans="1:1" x14ac:dyDescent="0.25">
      <c r="A160" s="5" t="s">
        <v>61</v>
      </c>
    </row>
    <row r="161" spans="1:1" x14ac:dyDescent="0.25">
      <c r="A161" s="5" t="s">
        <v>61</v>
      </c>
    </row>
    <row r="162" spans="1:1" x14ac:dyDescent="0.25">
      <c r="A162" s="5" t="s">
        <v>61</v>
      </c>
    </row>
    <row r="163" spans="1:1" x14ac:dyDescent="0.25">
      <c r="A163" s="5" t="s">
        <v>61</v>
      </c>
    </row>
    <row r="164" spans="1:1" x14ac:dyDescent="0.25">
      <c r="A164" s="5" t="s">
        <v>61</v>
      </c>
    </row>
    <row r="165" spans="1:1" x14ac:dyDescent="0.25">
      <c r="A165" s="5" t="s">
        <v>61</v>
      </c>
    </row>
    <row r="166" spans="1:1" x14ac:dyDescent="0.25">
      <c r="A166" s="5" t="s">
        <v>61</v>
      </c>
    </row>
    <row r="167" spans="1:1" x14ac:dyDescent="0.25">
      <c r="A167" s="5" t="s">
        <v>61</v>
      </c>
    </row>
    <row r="168" spans="1:1" x14ac:dyDescent="0.25">
      <c r="A168" s="5" t="s">
        <v>61</v>
      </c>
    </row>
    <row r="169" spans="1:1" x14ac:dyDescent="0.25">
      <c r="A169" s="5" t="s">
        <v>61</v>
      </c>
    </row>
    <row r="170" spans="1:1" x14ac:dyDescent="0.25">
      <c r="A170" s="5" t="s">
        <v>61</v>
      </c>
    </row>
    <row r="171" spans="1:1" x14ac:dyDescent="0.25">
      <c r="A171" s="5" t="s">
        <v>61</v>
      </c>
    </row>
    <row r="172" spans="1:1" x14ac:dyDescent="0.25">
      <c r="A172" s="5" t="s">
        <v>61</v>
      </c>
    </row>
    <row r="173" spans="1:1" x14ac:dyDescent="0.25">
      <c r="A173" s="5" t="s">
        <v>61</v>
      </c>
    </row>
    <row r="174" spans="1:1" x14ac:dyDescent="0.25">
      <c r="A174" s="5" t="s">
        <v>61</v>
      </c>
    </row>
    <row r="175" spans="1:1" x14ac:dyDescent="0.25">
      <c r="A175" s="5" t="s">
        <v>61</v>
      </c>
    </row>
    <row r="176" spans="1:1" x14ac:dyDescent="0.25">
      <c r="A176" s="5" t="s">
        <v>61</v>
      </c>
    </row>
    <row r="177" spans="1:1" x14ac:dyDescent="0.25">
      <c r="A177" s="5" t="s">
        <v>61</v>
      </c>
    </row>
    <row r="178" spans="1:1" x14ac:dyDescent="0.25">
      <c r="A178" s="5" t="s">
        <v>60</v>
      </c>
    </row>
    <row r="179" spans="1:1" x14ac:dyDescent="0.25">
      <c r="A179" s="5" t="s">
        <v>54</v>
      </c>
    </row>
    <row r="180" spans="1:1" x14ac:dyDescent="0.25">
      <c r="A180" s="5" t="s">
        <v>39</v>
      </c>
    </row>
    <row r="181" spans="1:1" x14ac:dyDescent="0.25">
      <c r="A181" s="5" t="s">
        <v>61</v>
      </c>
    </row>
    <row r="182" spans="1:1" x14ac:dyDescent="0.25">
      <c r="A182" s="5" t="s">
        <v>41</v>
      </c>
    </row>
    <row r="183" spans="1:1" x14ac:dyDescent="0.25">
      <c r="A183" s="5" t="s">
        <v>31</v>
      </c>
    </row>
    <row r="184" spans="1:1" x14ac:dyDescent="0.25">
      <c r="A184" s="5" t="s">
        <v>59</v>
      </c>
    </row>
    <row r="185" spans="1:1" x14ac:dyDescent="0.25">
      <c r="A185" s="5" t="s">
        <v>31</v>
      </c>
    </row>
    <row r="186" spans="1:1" x14ac:dyDescent="0.25">
      <c r="A186" s="5" t="s">
        <v>62</v>
      </c>
    </row>
    <row r="187" spans="1:1" x14ac:dyDescent="0.25">
      <c r="A187" s="5" t="s">
        <v>62</v>
      </c>
    </row>
    <row r="188" spans="1:1" x14ac:dyDescent="0.25">
      <c r="A188" s="5" t="s">
        <v>62</v>
      </c>
    </row>
    <row r="189" spans="1:1" x14ac:dyDescent="0.25">
      <c r="A189" s="5" t="s">
        <v>58</v>
      </c>
    </row>
    <row r="190" spans="1:1" x14ac:dyDescent="0.25">
      <c r="A190" s="5" t="s">
        <v>58</v>
      </c>
    </row>
    <row r="191" spans="1:1" x14ac:dyDescent="0.25">
      <c r="A191" s="5" t="s">
        <v>58</v>
      </c>
    </row>
    <row r="192" spans="1:1" x14ac:dyDescent="0.25">
      <c r="A192" s="5" t="s">
        <v>58</v>
      </c>
    </row>
    <row r="193" spans="1:1" x14ac:dyDescent="0.25">
      <c r="A193" s="5" t="s">
        <v>58</v>
      </c>
    </row>
    <row r="194" spans="1:1" x14ac:dyDescent="0.25">
      <c r="A194" s="5" t="s">
        <v>58</v>
      </c>
    </row>
    <row r="195" spans="1:1" x14ac:dyDescent="0.25">
      <c r="A195" s="5" t="s">
        <v>58</v>
      </c>
    </row>
    <row r="196" spans="1:1" x14ac:dyDescent="0.25">
      <c r="A196" s="5" t="s">
        <v>58</v>
      </c>
    </row>
    <row r="197" spans="1:1" x14ac:dyDescent="0.25">
      <c r="A197" s="5" t="s">
        <v>62</v>
      </c>
    </row>
    <row r="198" spans="1:1" x14ac:dyDescent="0.25">
      <c r="A198" s="5" t="s">
        <v>63</v>
      </c>
    </row>
    <row r="199" spans="1:1" x14ac:dyDescent="0.25">
      <c r="A199" s="5" t="s">
        <v>58</v>
      </c>
    </row>
    <row r="200" spans="1:1" x14ac:dyDescent="0.25">
      <c r="A200" s="5" t="s">
        <v>64</v>
      </c>
    </row>
    <row r="201" spans="1:1" x14ac:dyDescent="0.25">
      <c r="A201" s="5" t="s">
        <v>45</v>
      </c>
    </row>
    <row r="202" spans="1:1" x14ac:dyDescent="0.25">
      <c r="A202" s="5" t="s">
        <v>45</v>
      </c>
    </row>
    <row r="203" spans="1:1" x14ac:dyDescent="0.25">
      <c r="A203" s="5" t="s">
        <v>65</v>
      </c>
    </row>
    <row r="204" spans="1:1" x14ac:dyDescent="0.25">
      <c r="A204" s="5" t="s">
        <v>66</v>
      </c>
    </row>
    <row r="205" spans="1:1" x14ac:dyDescent="0.25">
      <c r="A205" s="5" t="s">
        <v>67</v>
      </c>
    </row>
    <row r="206" spans="1:1" x14ac:dyDescent="0.25">
      <c r="A206" s="5" t="s">
        <v>67</v>
      </c>
    </row>
    <row r="207" spans="1:1" x14ac:dyDescent="0.25">
      <c r="A207" s="5" t="s">
        <v>58</v>
      </c>
    </row>
    <row r="208" spans="1:1" x14ac:dyDescent="0.25">
      <c r="A208" s="5" t="s">
        <v>58</v>
      </c>
    </row>
    <row r="209" spans="1:1" x14ac:dyDescent="0.25">
      <c r="A209" s="5" t="s">
        <v>68</v>
      </c>
    </row>
    <row r="210" spans="1:1" x14ac:dyDescent="0.25">
      <c r="A210" s="5" t="s">
        <v>69</v>
      </c>
    </row>
    <row r="211" spans="1:1" x14ac:dyDescent="0.25">
      <c r="A211" s="5" t="s">
        <v>47</v>
      </c>
    </row>
    <row r="212" spans="1:1" x14ac:dyDescent="0.25">
      <c r="A212" s="5" t="s">
        <v>70</v>
      </c>
    </row>
    <row r="213" spans="1:1" x14ac:dyDescent="0.25">
      <c r="A213" s="5" t="s">
        <v>57</v>
      </c>
    </row>
    <row r="214" spans="1:1" x14ac:dyDescent="0.25">
      <c r="A214" s="5" t="s">
        <v>71</v>
      </c>
    </row>
    <row r="215" spans="1:1" x14ac:dyDescent="0.25">
      <c r="A215" s="5" t="s">
        <v>71</v>
      </c>
    </row>
    <row r="216" spans="1:1" x14ac:dyDescent="0.25">
      <c r="A216" s="5" t="s">
        <v>71</v>
      </c>
    </row>
    <row r="217" spans="1:1" x14ac:dyDescent="0.25">
      <c r="A217" s="5" t="s">
        <v>39</v>
      </c>
    </row>
    <row r="218" spans="1:1" x14ac:dyDescent="0.25">
      <c r="A218" s="5" t="s">
        <v>71</v>
      </c>
    </row>
    <row r="219" spans="1:1" x14ac:dyDescent="0.25">
      <c r="A219" s="5" t="s">
        <v>35</v>
      </c>
    </row>
    <row r="220" spans="1:1" x14ac:dyDescent="0.25">
      <c r="A220" s="5" t="s">
        <v>35</v>
      </c>
    </row>
    <row r="221" spans="1:1" x14ac:dyDescent="0.25">
      <c r="A221" s="5" t="s">
        <v>47</v>
      </c>
    </row>
    <row r="222" spans="1:1" x14ac:dyDescent="0.25">
      <c r="A222" s="5" t="s">
        <v>35</v>
      </c>
    </row>
    <row r="223" spans="1:1" x14ac:dyDescent="0.25">
      <c r="A223" s="5" t="s">
        <v>47</v>
      </c>
    </row>
    <row r="224" spans="1:1" x14ac:dyDescent="0.25">
      <c r="A224" s="5" t="s">
        <v>54</v>
      </c>
    </row>
    <row r="225" spans="1:1" x14ac:dyDescent="0.25">
      <c r="A225" s="5" t="s">
        <v>46</v>
      </c>
    </row>
    <row r="226" spans="1:1" x14ac:dyDescent="0.25">
      <c r="A226" s="5" t="s">
        <v>58</v>
      </c>
    </row>
    <row r="227" spans="1:1" x14ac:dyDescent="0.25">
      <c r="A227" s="5" t="s">
        <v>47</v>
      </c>
    </row>
    <row r="228" spans="1:1" x14ac:dyDescent="0.25">
      <c r="A228" s="5" t="s">
        <v>72</v>
      </c>
    </row>
    <row r="229" spans="1:1" x14ac:dyDescent="0.25">
      <c r="A229" s="5" t="s">
        <v>70</v>
      </c>
    </row>
    <row r="230" spans="1:1" x14ac:dyDescent="0.25">
      <c r="A230" s="5" t="s">
        <v>70</v>
      </c>
    </row>
    <row r="231" spans="1:1" x14ac:dyDescent="0.25">
      <c r="A231" s="5" t="s">
        <v>31</v>
      </c>
    </row>
    <row r="232" spans="1:1" x14ac:dyDescent="0.25">
      <c r="A232" s="5" t="s">
        <v>31</v>
      </c>
    </row>
    <row r="233" spans="1:1" x14ac:dyDescent="0.25">
      <c r="A233" s="5" t="s">
        <v>47</v>
      </c>
    </row>
    <row r="234" spans="1:1" x14ac:dyDescent="0.25">
      <c r="A234" s="5" t="s">
        <v>31</v>
      </c>
    </row>
    <row r="235" spans="1:1" x14ac:dyDescent="0.25">
      <c r="A235" s="5" t="s">
        <v>31</v>
      </c>
    </row>
    <row r="236" spans="1:1" x14ac:dyDescent="0.25">
      <c r="A236" s="5" t="s">
        <v>31</v>
      </c>
    </row>
    <row r="237" spans="1:1" x14ac:dyDescent="0.25">
      <c r="A237" s="5" t="s">
        <v>31</v>
      </c>
    </row>
    <row r="238" spans="1:1" x14ac:dyDescent="0.25">
      <c r="A238" s="5" t="s">
        <v>31</v>
      </c>
    </row>
    <row r="239" spans="1:1" x14ac:dyDescent="0.25">
      <c r="A239" s="5" t="s">
        <v>31</v>
      </c>
    </row>
    <row r="240" spans="1:1" x14ac:dyDescent="0.25">
      <c r="A240" s="5" t="s">
        <v>31</v>
      </c>
    </row>
    <row r="241" spans="1:1" x14ac:dyDescent="0.25">
      <c r="A241" s="5" t="s">
        <v>31</v>
      </c>
    </row>
    <row r="242" spans="1:1" x14ac:dyDescent="0.25">
      <c r="A242" s="5" t="s">
        <v>56</v>
      </c>
    </row>
    <row r="243" spans="1:1" x14ac:dyDescent="0.25">
      <c r="A243" s="5" t="s">
        <v>31</v>
      </c>
    </row>
    <row r="244" spans="1:1" x14ac:dyDescent="0.25">
      <c r="A244" s="5" t="s">
        <v>62</v>
      </c>
    </row>
    <row r="245" spans="1:1" x14ac:dyDescent="0.25">
      <c r="A245" s="5" t="s">
        <v>73</v>
      </c>
    </row>
    <row r="246" spans="1:1" x14ac:dyDescent="0.25">
      <c r="A246" s="5" t="s">
        <v>39</v>
      </c>
    </row>
    <row r="247" spans="1:1" x14ac:dyDescent="0.25">
      <c r="A247" s="5" t="s">
        <v>55</v>
      </c>
    </row>
    <row r="248" spans="1:1" x14ac:dyDescent="0.25">
      <c r="A248" s="5" t="s">
        <v>50</v>
      </c>
    </row>
    <row r="249" spans="1:1" x14ac:dyDescent="0.25">
      <c r="A249" s="5" t="s">
        <v>51</v>
      </c>
    </row>
    <row r="250" spans="1:1" x14ac:dyDescent="0.25">
      <c r="A250" s="5" t="s">
        <v>46</v>
      </c>
    </row>
    <row r="251" spans="1:1" x14ac:dyDescent="0.25">
      <c r="A251" s="5" t="s">
        <v>58</v>
      </c>
    </row>
    <row r="252" spans="1:1" x14ac:dyDescent="0.25">
      <c r="A252" s="5" t="s">
        <v>58</v>
      </c>
    </row>
    <row r="253" spans="1:1" x14ac:dyDescent="0.25">
      <c r="A253" s="5" t="s">
        <v>58</v>
      </c>
    </row>
    <row r="254" spans="1:1" x14ac:dyDescent="0.25">
      <c r="A254" s="5" t="s">
        <v>58</v>
      </c>
    </row>
    <row r="255" spans="1:1" x14ac:dyDescent="0.25">
      <c r="A255" s="5" t="s">
        <v>58</v>
      </c>
    </row>
    <row r="256" spans="1:1" x14ac:dyDescent="0.25">
      <c r="A256" s="5" t="s">
        <v>58</v>
      </c>
    </row>
    <row r="257" spans="1:1" x14ac:dyDescent="0.25">
      <c r="A257" s="5" t="s">
        <v>58</v>
      </c>
    </row>
    <row r="258" spans="1:1" x14ac:dyDescent="0.25">
      <c r="A258" s="5" t="s">
        <v>58</v>
      </c>
    </row>
    <row r="259" spans="1:1" x14ac:dyDescent="0.25">
      <c r="A259" s="5" t="s">
        <v>58</v>
      </c>
    </row>
    <row r="260" spans="1:1" x14ac:dyDescent="0.25">
      <c r="A260" s="5" t="s">
        <v>58</v>
      </c>
    </row>
    <row r="261" spans="1:1" x14ac:dyDescent="0.25">
      <c r="A261" s="5" t="s">
        <v>58</v>
      </c>
    </row>
    <row r="262" spans="1:1" x14ac:dyDescent="0.25">
      <c r="A262" s="5" t="s">
        <v>58</v>
      </c>
    </row>
    <row r="263" spans="1:1" x14ac:dyDescent="0.25">
      <c r="A263" s="5" t="s">
        <v>58</v>
      </c>
    </row>
    <row r="264" spans="1:1" x14ac:dyDescent="0.25">
      <c r="A264" s="5" t="s">
        <v>58</v>
      </c>
    </row>
    <row r="265" spans="1:1" x14ac:dyDescent="0.25">
      <c r="A265" s="5" t="s">
        <v>58</v>
      </c>
    </row>
    <row r="266" spans="1:1" x14ac:dyDescent="0.25">
      <c r="A266" s="5" t="s">
        <v>58</v>
      </c>
    </row>
    <row r="267" spans="1:1" x14ac:dyDescent="0.25">
      <c r="A267" s="5" t="s">
        <v>58</v>
      </c>
    </row>
    <row r="268" spans="1:1" x14ac:dyDescent="0.25">
      <c r="A268" s="5" t="s">
        <v>58</v>
      </c>
    </row>
    <row r="269" spans="1:1" x14ac:dyDescent="0.25">
      <c r="A269" s="5" t="s">
        <v>58</v>
      </c>
    </row>
    <row r="270" spans="1:1" x14ac:dyDescent="0.25">
      <c r="A270" s="5" t="s">
        <v>58</v>
      </c>
    </row>
    <row r="271" spans="1:1" x14ac:dyDescent="0.25">
      <c r="A271" s="5" t="s">
        <v>58</v>
      </c>
    </row>
    <row r="272" spans="1:1" x14ac:dyDescent="0.25">
      <c r="A272" s="5" t="s">
        <v>58</v>
      </c>
    </row>
    <row r="273" spans="1:1" x14ac:dyDescent="0.25">
      <c r="A273" s="5" t="s">
        <v>58</v>
      </c>
    </row>
    <row r="274" spans="1:1" x14ac:dyDescent="0.25">
      <c r="A274" s="5" t="s">
        <v>70</v>
      </c>
    </row>
    <row r="275" spans="1:1" x14ac:dyDescent="0.25">
      <c r="A275" s="5" t="s">
        <v>70</v>
      </c>
    </row>
    <row r="276" spans="1:1" x14ac:dyDescent="0.25">
      <c r="A276" s="5" t="s">
        <v>66</v>
      </c>
    </row>
    <row r="277" spans="1:1" x14ac:dyDescent="0.25">
      <c r="A277" s="5" t="s">
        <v>74</v>
      </c>
    </row>
    <row r="278" spans="1:1" x14ac:dyDescent="0.25">
      <c r="A278" s="5" t="s">
        <v>67</v>
      </c>
    </row>
    <row r="279" spans="1:1" x14ac:dyDescent="0.25">
      <c r="A279" s="5" t="s">
        <v>31</v>
      </c>
    </row>
    <row r="280" spans="1:1" x14ac:dyDescent="0.25">
      <c r="A280" s="5" t="s">
        <v>67</v>
      </c>
    </row>
    <row r="281" spans="1:1" x14ac:dyDescent="0.25">
      <c r="A281" s="5" t="s">
        <v>67</v>
      </c>
    </row>
    <row r="282" spans="1:1" x14ac:dyDescent="0.25">
      <c r="A282" s="5" t="s">
        <v>31</v>
      </c>
    </row>
    <row r="283" spans="1:1" x14ac:dyDescent="0.25">
      <c r="A283" s="5" t="s">
        <v>31</v>
      </c>
    </row>
    <row r="284" spans="1:1" x14ac:dyDescent="0.25">
      <c r="A284" s="5" t="s">
        <v>31</v>
      </c>
    </row>
    <row r="285" spans="1:1" x14ac:dyDescent="0.25">
      <c r="A285" s="5" t="s">
        <v>31</v>
      </c>
    </row>
    <row r="286" spans="1:1" x14ac:dyDescent="0.25">
      <c r="A286" s="5" t="s">
        <v>31</v>
      </c>
    </row>
    <row r="287" spans="1:1" x14ac:dyDescent="0.25">
      <c r="A287" s="5" t="s">
        <v>45</v>
      </c>
    </row>
    <row r="288" spans="1:1" x14ac:dyDescent="0.25">
      <c r="A288" s="5" t="s">
        <v>31</v>
      </c>
    </row>
    <row r="289" spans="1:1" x14ac:dyDescent="0.25">
      <c r="A289" s="5" t="s">
        <v>75</v>
      </c>
    </row>
    <row r="290" spans="1:1" x14ac:dyDescent="0.25">
      <c r="A290" s="5" t="s">
        <v>31</v>
      </c>
    </row>
    <row r="291" spans="1:1" x14ac:dyDescent="0.25">
      <c r="A291" s="5" t="s">
        <v>31</v>
      </c>
    </row>
    <row r="292" spans="1:1" x14ac:dyDescent="0.25">
      <c r="A292" s="5" t="s">
        <v>31</v>
      </c>
    </row>
    <row r="293" spans="1:1" x14ac:dyDescent="0.25">
      <c r="A293" s="5" t="s">
        <v>31</v>
      </c>
    </row>
    <row r="294" spans="1:1" x14ac:dyDescent="0.25">
      <c r="A294" s="5" t="s">
        <v>31</v>
      </c>
    </row>
    <row r="295" spans="1:1" x14ac:dyDescent="0.25">
      <c r="A295" s="5" t="s">
        <v>31</v>
      </c>
    </row>
    <row r="296" spans="1:1" x14ac:dyDescent="0.25">
      <c r="A296" s="5" t="s">
        <v>31</v>
      </c>
    </row>
    <row r="297" spans="1:1" x14ac:dyDescent="0.25">
      <c r="A297" s="5" t="s">
        <v>76</v>
      </c>
    </row>
    <row r="298" spans="1:1" x14ac:dyDescent="0.25">
      <c r="A298" s="5" t="s">
        <v>76</v>
      </c>
    </row>
    <row r="299" spans="1:1" x14ac:dyDescent="0.25">
      <c r="A299" s="5" t="s">
        <v>37</v>
      </c>
    </row>
    <row r="300" spans="1:1" x14ac:dyDescent="0.25">
      <c r="A300" s="5" t="s">
        <v>77</v>
      </c>
    </row>
    <row r="301" spans="1:1" x14ac:dyDescent="0.25">
      <c r="A301" s="5" t="s">
        <v>39</v>
      </c>
    </row>
    <row r="302" spans="1:1" x14ac:dyDescent="0.25">
      <c r="A302" s="5" t="s">
        <v>55</v>
      </c>
    </row>
    <row r="303" spans="1:1" x14ac:dyDescent="0.25">
      <c r="A303" s="5" t="s">
        <v>55</v>
      </c>
    </row>
    <row r="304" spans="1:1" x14ac:dyDescent="0.25">
      <c r="A304" s="5" t="s">
        <v>55</v>
      </c>
    </row>
    <row r="305" spans="1:1" x14ac:dyDescent="0.25">
      <c r="A305" s="5" t="s">
        <v>55</v>
      </c>
    </row>
    <row r="306" spans="1:1" x14ac:dyDescent="0.25">
      <c r="A306" s="5" t="s">
        <v>55</v>
      </c>
    </row>
    <row r="307" spans="1:1" x14ac:dyDescent="0.25">
      <c r="A307" s="5" t="s">
        <v>55</v>
      </c>
    </row>
    <row r="308" spans="1:1" x14ac:dyDescent="0.25">
      <c r="A308" s="5" t="s">
        <v>55</v>
      </c>
    </row>
    <row r="309" spans="1:1" x14ac:dyDescent="0.25">
      <c r="A309" s="5" t="s">
        <v>55</v>
      </c>
    </row>
    <row r="310" spans="1:1" x14ac:dyDescent="0.25">
      <c r="A310" s="5" t="s">
        <v>38</v>
      </c>
    </row>
    <row r="311" spans="1:1" x14ac:dyDescent="0.25">
      <c r="A311" s="5" t="s">
        <v>55</v>
      </c>
    </row>
    <row r="312" spans="1:1" x14ac:dyDescent="0.25">
      <c r="A312" s="5" t="s">
        <v>55</v>
      </c>
    </row>
    <row r="313" spans="1:1" x14ac:dyDescent="0.25">
      <c r="A313" s="5" t="s">
        <v>46</v>
      </c>
    </row>
    <row r="314" spans="1:1" x14ac:dyDescent="0.25">
      <c r="A314" s="5" t="s">
        <v>78</v>
      </c>
    </row>
    <row r="315" spans="1:1" x14ac:dyDescent="0.25">
      <c r="A315" s="5" t="s">
        <v>70</v>
      </c>
    </row>
    <row r="316" spans="1:1" x14ac:dyDescent="0.25">
      <c r="A316" s="5" t="s">
        <v>70</v>
      </c>
    </row>
    <row r="317" spans="1:1" x14ac:dyDescent="0.25">
      <c r="A317" s="5" t="s">
        <v>70</v>
      </c>
    </row>
    <row r="318" spans="1:1" x14ac:dyDescent="0.25">
      <c r="A318" s="5" t="s">
        <v>70</v>
      </c>
    </row>
    <row r="319" spans="1:1" x14ac:dyDescent="0.25">
      <c r="A319" s="5" t="s">
        <v>70</v>
      </c>
    </row>
    <row r="320" spans="1:1" x14ac:dyDescent="0.25">
      <c r="A320" s="5" t="s">
        <v>70</v>
      </c>
    </row>
    <row r="321" spans="1:1" x14ac:dyDescent="0.25">
      <c r="A321" s="5" t="s">
        <v>70</v>
      </c>
    </row>
    <row r="322" spans="1:1" x14ac:dyDescent="0.25">
      <c r="A322" s="5" t="s">
        <v>45</v>
      </c>
    </row>
    <row r="323" spans="1:1" x14ac:dyDescent="0.25">
      <c r="A323" s="5" t="s">
        <v>70</v>
      </c>
    </row>
    <row r="324" spans="1:1" x14ac:dyDescent="0.25">
      <c r="A324" s="5" t="s">
        <v>68</v>
      </c>
    </row>
    <row r="325" spans="1:1" x14ac:dyDescent="0.25">
      <c r="A325" s="5" t="s">
        <v>56</v>
      </c>
    </row>
    <row r="326" spans="1:1" x14ac:dyDescent="0.25">
      <c r="A326" s="5" t="s">
        <v>79</v>
      </c>
    </row>
    <row r="327" spans="1:1" x14ac:dyDescent="0.25">
      <c r="A327" s="5" t="s">
        <v>31</v>
      </c>
    </row>
    <row r="328" spans="1:1" x14ac:dyDescent="0.25">
      <c r="A328" s="5" t="s">
        <v>31</v>
      </c>
    </row>
    <row r="329" spans="1:1" x14ac:dyDescent="0.25">
      <c r="A329" s="5" t="s">
        <v>31</v>
      </c>
    </row>
    <row r="330" spans="1:1" x14ac:dyDescent="0.25">
      <c r="A330" s="5" t="s">
        <v>31</v>
      </c>
    </row>
    <row r="331" spans="1:1" x14ac:dyDescent="0.25">
      <c r="A331" s="5" t="s">
        <v>80</v>
      </c>
    </row>
    <row r="332" spans="1:1" x14ac:dyDescent="0.25">
      <c r="A332" s="5" t="s">
        <v>73</v>
      </c>
    </row>
    <row r="333" spans="1:1" x14ac:dyDescent="0.25">
      <c r="A333" s="5" t="s">
        <v>70</v>
      </c>
    </row>
    <row r="334" spans="1:1" x14ac:dyDescent="0.25">
      <c r="A334" s="5" t="s">
        <v>55</v>
      </c>
    </row>
    <row r="335" spans="1:1" x14ac:dyDescent="0.25">
      <c r="A335" s="5" t="s">
        <v>55</v>
      </c>
    </row>
    <row r="336" spans="1:1" x14ac:dyDescent="0.25">
      <c r="A336" s="5" t="s">
        <v>58</v>
      </c>
    </row>
    <row r="337" spans="1:1" x14ac:dyDescent="0.25">
      <c r="A337" s="5" t="s">
        <v>81</v>
      </c>
    </row>
    <row r="338" spans="1:1" x14ac:dyDescent="0.25">
      <c r="A338" s="5" t="s">
        <v>81</v>
      </c>
    </row>
    <row r="339" spans="1:1" x14ac:dyDescent="0.25">
      <c r="A339" s="5" t="s">
        <v>81</v>
      </c>
    </row>
    <row r="340" spans="1:1" x14ac:dyDescent="0.25">
      <c r="A340" s="5" t="s">
        <v>82</v>
      </c>
    </row>
    <row r="341" spans="1:1" x14ac:dyDescent="0.25">
      <c r="A341" s="5" t="s">
        <v>46</v>
      </c>
    </row>
    <row r="342" spans="1:1" x14ac:dyDescent="0.25">
      <c r="A342" s="5" t="s">
        <v>69</v>
      </c>
    </row>
    <row r="343" spans="1:1" x14ac:dyDescent="0.25">
      <c r="A343" s="5" t="s">
        <v>83</v>
      </c>
    </row>
    <row r="344" spans="1:1" x14ac:dyDescent="0.25">
      <c r="A344" s="5" t="s">
        <v>81</v>
      </c>
    </row>
    <row r="345" spans="1:1" x14ac:dyDescent="0.25">
      <c r="A345" s="5" t="s">
        <v>81</v>
      </c>
    </row>
    <row r="346" spans="1:1" x14ac:dyDescent="0.25">
      <c r="A346" s="5" t="s">
        <v>81</v>
      </c>
    </row>
    <row r="347" spans="1:1" x14ac:dyDescent="0.25">
      <c r="A347" s="5" t="s">
        <v>58</v>
      </c>
    </row>
    <row r="348" spans="1:1" x14ac:dyDescent="0.25">
      <c r="A348" s="5" t="s">
        <v>81</v>
      </c>
    </row>
    <row r="349" spans="1:1" x14ac:dyDescent="0.25">
      <c r="A349" s="5" t="s">
        <v>67</v>
      </c>
    </row>
    <row r="350" spans="1:1" x14ac:dyDescent="0.25">
      <c r="A350" s="5" t="s">
        <v>58</v>
      </c>
    </row>
    <row r="351" spans="1:1" x14ac:dyDescent="0.25">
      <c r="A351" s="5" t="s">
        <v>66</v>
      </c>
    </row>
    <row r="352" spans="1:1" x14ac:dyDescent="0.25">
      <c r="A352" s="5" t="s">
        <v>84</v>
      </c>
    </row>
    <row r="353" spans="1:1" x14ac:dyDescent="0.25">
      <c r="A353" s="5" t="s">
        <v>85</v>
      </c>
    </row>
    <row r="354" spans="1:1" x14ac:dyDescent="0.25">
      <c r="A354" s="5" t="s">
        <v>85</v>
      </c>
    </row>
    <row r="355" spans="1:1" x14ac:dyDescent="0.25">
      <c r="A355" s="5" t="s">
        <v>84</v>
      </c>
    </row>
    <row r="356" spans="1:1" x14ac:dyDescent="0.25">
      <c r="A356" s="5" t="s">
        <v>84</v>
      </c>
    </row>
    <row r="357" spans="1:1" x14ac:dyDescent="0.25">
      <c r="A357" s="5" t="s">
        <v>81</v>
      </c>
    </row>
    <row r="358" spans="1:1" x14ac:dyDescent="0.25">
      <c r="A358" s="5" t="s">
        <v>58</v>
      </c>
    </row>
    <row r="359" spans="1:1" x14ac:dyDescent="0.25">
      <c r="A359" s="5" t="s">
        <v>58</v>
      </c>
    </row>
    <row r="360" spans="1:1" x14ac:dyDescent="0.25">
      <c r="A360" s="5" t="s">
        <v>31</v>
      </c>
    </row>
    <row r="361" spans="1:1" x14ac:dyDescent="0.25">
      <c r="A361" s="5" t="s">
        <v>77</v>
      </c>
    </row>
    <row r="362" spans="1:1" x14ac:dyDescent="0.25">
      <c r="A362" s="5" t="s">
        <v>77</v>
      </c>
    </row>
    <row r="363" spans="1:1" x14ac:dyDescent="0.25">
      <c r="A363" s="5" t="s">
        <v>77</v>
      </c>
    </row>
    <row r="364" spans="1:1" x14ac:dyDescent="0.25">
      <c r="A364" s="5" t="s">
        <v>31</v>
      </c>
    </row>
    <row r="365" spans="1:1" x14ac:dyDescent="0.25">
      <c r="A365" s="5" t="s">
        <v>58</v>
      </c>
    </row>
    <row r="366" spans="1:1" x14ac:dyDescent="0.25">
      <c r="A366" s="5" t="s">
        <v>81</v>
      </c>
    </row>
    <row r="367" spans="1:1" x14ac:dyDescent="0.25">
      <c r="A367" s="5" t="s">
        <v>58</v>
      </c>
    </row>
    <row r="368" spans="1:1" x14ac:dyDescent="0.25">
      <c r="A368" s="5" t="s">
        <v>81</v>
      </c>
    </row>
    <row r="369" spans="1:1" x14ac:dyDescent="0.25">
      <c r="A369" s="5" t="s">
        <v>58</v>
      </c>
    </row>
    <row r="370" spans="1:1" x14ac:dyDescent="0.25">
      <c r="A370" s="5" t="s">
        <v>37</v>
      </c>
    </row>
    <row r="371" spans="1:1" x14ac:dyDescent="0.25">
      <c r="A371" s="5" t="s">
        <v>81</v>
      </c>
    </row>
    <row r="372" spans="1:1" x14ac:dyDescent="0.25">
      <c r="A372" s="5" t="s">
        <v>58</v>
      </c>
    </row>
    <row r="373" spans="1:1" x14ac:dyDescent="0.25">
      <c r="A373" s="5" t="s">
        <v>58</v>
      </c>
    </row>
    <row r="374" spans="1:1" x14ac:dyDescent="0.25">
      <c r="A374" s="5" t="s">
        <v>58</v>
      </c>
    </row>
    <row r="375" spans="1:1" x14ac:dyDescent="0.25">
      <c r="A375" s="5" t="s">
        <v>81</v>
      </c>
    </row>
    <row r="376" spans="1:1" x14ac:dyDescent="0.25">
      <c r="A376" s="5" t="s">
        <v>58</v>
      </c>
    </row>
    <row r="377" spans="1:1" x14ac:dyDescent="0.25">
      <c r="A377" s="5" t="s">
        <v>70</v>
      </c>
    </row>
    <row r="378" spans="1:1" x14ac:dyDescent="0.25">
      <c r="A378" s="5" t="s">
        <v>81</v>
      </c>
    </row>
    <row r="379" spans="1:1" x14ac:dyDescent="0.25">
      <c r="A379" s="5" t="s">
        <v>58</v>
      </c>
    </row>
    <row r="380" spans="1:1" x14ac:dyDescent="0.25">
      <c r="A380" s="5" t="s">
        <v>74</v>
      </c>
    </row>
    <row r="381" spans="1:1" x14ac:dyDescent="0.25">
      <c r="A381" s="5" t="s">
        <v>58</v>
      </c>
    </row>
    <row r="382" spans="1:1" x14ac:dyDescent="0.25">
      <c r="A382" s="5" t="s">
        <v>58</v>
      </c>
    </row>
    <row r="383" spans="1:1" x14ac:dyDescent="0.25">
      <c r="A383" s="5" t="s">
        <v>55</v>
      </c>
    </row>
    <row r="384" spans="1:1" x14ac:dyDescent="0.25">
      <c r="A384" s="5" t="s">
        <v>55</v>
      </c>
    </row>
    <row r="385" spans="1:1" x14ac:dyDescent="0.25">
      <c r="A385" s="5" t="s">
        <v>55</v>
      </c>
    </row>
    <row r="386" spans="1:1" x14ac:dyDescent="0.25">
      <c r="A386" s="5" t="s">
        <v>55</v>
      </c>
    </row>
    <row r="387" spans="1:1" x14ac:dyDescent="0.25">
      <c r="A387" s="5" t="s">
        <v>58</v>
      </c>
    </row>
    <row r="388" spans="1:1" x14ac:dyDescent="0.25">
      <c r="A388" s="5" t="s">
        <v>55</v>
      </c>
    </row>
    <row r="389" spans="1:1" x14ac:dyDescent="0.25">
      <c r="A389" s="5" t="s">
        <v>55</v>
      </c>
    </row>
    <row r="390" spans="1:1" x14ac:dyDescent="0.25">
      <c r="A390" s="5" t="s">
        <v>55</v>
      </c>
    </row>
    <row r="391" spans="1:1" x14ac:dyDescent="0.25">
      <c r="A391" s="5" t="s">
        <v>55</v>
      </c>
    </row>
    <row r="392" spans="1:1" x14ac:dyDescent="0.25">
      <c r="A392" s="5" t="s">
        <v>55</v>
      </c>
    </row>
    <row r="393" spans="1:1" x14ac:dyDescent="0.25">
      <c r="A393" s="5" t="s">
        <v>58</v>
      </c>
    </row>
    <row r="394" spans="1:1" x14ac:dyDescent="0.25">
      <c r="A394" s="5" t="s">
        <v>55</v>
      </c>
    </row>
    <row r="395" spans="1:1" x14ac:dyDescent="0.25">
      <c r="A395" s="5" t="s">
        <v>45</v>
      </c>
    </row>
    <row r="396" spans="1:1" x14ac:dyDescent="0.25">
      <c r="A396" s="5" t="s">
        <v>58</v>
      </c>
    </row>
    <row r="397" spans="1:1" x14ac:dyDescent="0.25">
      <c r="A397" s="5" t="s">
        <v>58</v>
      </c>
    </row>
    <row r="398" spans="1:1" x14ac:dyDescent="0.25">
      <c r="A398" s="5" t="s">
        <v>58</v>
      </c>
    </row>
    <row r="399" spans="1:1" x14ac:dyDescent="0.25">
      <c r="A399" s="5" t="s">
        <v>30</v>
      </c>
    </row>
    <row r="400" spans="1:1" x14ac:dyDescent="0.25">
      <c r="A400" s="5" t="s">
        <v>30</v>
      </c>
    </row>
    <row r="401" spans="1:1" x14ac:dyDescent="0.25">
      <c r="A401" s="5" t="s">
        <v>30</v>
      </c>
    </row>
    <row r="402" spans="1:1" x14ac:dyDescent="0.25">
      <c r="A402" s="5" t="s">
        <v>30</v>
      </c>
    </row>
    <row r="403" spans="1:1" x14ac:dyDescent="0.25">
      <c r="A403" s="5" t="s">
        <v>46</v>
      </c>
    </row>
    <row r="404" spans="1:1" x14ac:dyDescent="0.25">
      <c r="A404" s="5" t="s">
        <v>30</v>
      </c>
    </row>
    <row r="405" spans="1:1" x14ac:dyDescent="0.25">
      <c r="A405" s="5" t="s">
        <v>30</v>
      </c>
    </row>
    <row r="406" spans="1:1" x14ac:dyDescent="0.25">
      <c r="A406" s="5" t="s">
        <v>58</v>
      </c>
    </row>
    <row r="407" spans="1:1" x14ac:dyDescent="0.25">
      <c r="A407" s="5" t="s">
        <v>30</v>
      </c>
    </row>
    <row r="408" spans="1:1" x14ac:dyDescent="0.25">
      <c r="A408" s="5" t="s">
        <v>58</v>
      </c>
    </row>
    <row r="409" spans="1:1" x14ac:dyDescent="0.25">
      <c r="A409" s="5" t="s">
        <v>58</v>
      </c>
    </row>
    <row r="410" spans="1:1" x14ac:dyDescent="0.25">
      <c r="A410" s="5" t="s">
        <v>58</v>
      </c>
    </row>
    <row r="411" spans="1:1" x14ac:dyDescent="0.25">
      <c r="A411" s="5" t="s">
        <v>39</v>
      </c>
    </row>
    <row r="412" spans="1:1" x14ac:dyDescent="0.25">
      <c r="A412" s="5" t="s">
        <v>58</v>
      </c>
    </row>
    <row r="413" spans="1:1" x14ac:dyDescent="0.25">
      <c r="A413" s="5" t="s">
        <v>58</v>
      </c>
    </row>
    <row r="414" spans="1:1" x14ac:dyDescent="0.25">
      <c r="A414" s="5" t="s">
        <v>58</v>
      </c>
    </row>
    <row r="415" spans="1:1" x14ac:dyDescent="0.25">
      <c r="A415" s="5" t="s">
        <v>58</v>
      </c>
    </row>
    <row r="416" spans="1:1" x14ac:dyDescent="0.25">
      <c r="A416" s="5" t="s">
        <v>58</v>
      </c>
    </row>
    <row r="417" spans="1:1" x14ac:dyDescent="0.25">
      <c r="A417" s="5" t="s">
        <v>58</v>
      </c>
    </row>
    <row r="418" spans="1:1" x14ac:dyDescent="0.25">
      <c r="A418" s="5" t="s">
        <v>31</v>
      </c>
    </row>
    <row r="419" spans="1:1" x14ac:dyDescent="0.25">
      <c r="A419" s="5" t="s">
        <v>31</v>
      </c>
    </row>
    <row r="420" spans="1:1" x14ac:dyDescent="0.25">
      <c r="A420" s="5" t="s">
        <v>58</v>
      </c>
    </row>
    <row r="421" spans="1:1" x14ac:dyDescent="0.25">
      <c r="A421" s="5" t="s">
        <v>58</v>
      </c>
    </row>
    <row r="422" spans="1:1" x14ac:dyDescent="0.25">
      <c r="A422" s="5" t="s">
        <v>35</v>
      </c>
    </row>
    <row r="423" spans="1:1" x14ac:dyDescent="0.25">
      <c r="A423" s="5" t="s">
        <v>35</v>
      </c>
    </row>
    <row r="424" spans="1:1" x14ac:dyDescent="0.25">
      <c r="A424" s="5" t="s">
        <v>35</v>
      </c>
    </row>
    <row r="425" spans="1:1" x14ac:dyDescent="0.25">
      <c r="A425" s="5" t="s">
        <v>58</v>
      </c>
    </row>
    <row r="426" spans="1:1" x14ac:dyDescent="0.25">
      <c r="A426" s="5" t="s">
        <v>64</v>
      </c>
    </row>
    <row r="427" spans="1:1" x14ac:dyDescent="0.25">
      <c r="A427" s="5" t="s">
        <v>35</v>
      </c>
    </row>
    <row r="428" spans="1:1" x14ac:dyDescent="0.25">
      <c r="A428" s="5" t="s">
        <v>35</v>
      </c>
    </row>
    <row r="429" spans="1:1" x14ac:dyDescent="0.25">
      <c r="A429" s="5" t="s">
        <v>53</v>
      </c>
    </row>
    <row r="430" spans="1:1" x14ac:dyDescent="0.25">
      <c r="A430" s="5" t="s">
        <v>32</v>
      </c>
    </row>
    <row r="431" spans="1:1" x14ac:dyDescent="0.25">
      <c r="A431" s="5" t="s">
        <v>33</v>
      </c>
    </row>
    <row r="432" spans="1:1" x14ac:dyDescent="0.25">
      <c r="A432" s="5" t="s">
        <v>47</v>
      </c>
    </row>
    <row r="433" spans="1:1" x14ac:dyDescent="0.25">
      <c r="A433" s="5" t="s">
        <v>47</v>
      </c>
    </row>
    <row r="434" spans="1:1" x14ac:dyDescent="0.25">
      <c r="A434" s="5" t="s">
        <v>47</v>
      </c>
    </row>
    <row r="435" spans="1:1" x14ac:dyDescent="0.25">
      <c r="A435" s="5" t="s">
        <v>47</v>
      </c>
    </row>
    <row r="436" spans="1:1" x14ac:dyDescent="0.25">
      <c r="A436" s="5" t="s">
        <v>47</v>
      </c>
    </row>
    <row r="437" spans="1:1" x14ac:dyDescent="0.25">
      <c r="A437" s="5" t="s">
        <v>47</v>
      </c>
    </row>
    <row r="438" spans="1:1" x14ac:dyDescent="0.25">
      <c r="A438" s="5" t="s">
        <v>47</v>
      </c>
    </row>
    <row r="439" spans="1:1" x14ac:dyDescent="0.25">
      <c r="A439" s="5" t="s">
        <v>47</v>
      </c>
    </row>
    <row r="440" spans="1:1" x14ac:dyDescent="0.25">
      <c r="A440" s="5" t="s">
        <v>47</v>
      </c>
    </row>
    <row r="441" spans="1:1" x14ac:dyDescent="0.25">
      <c r="A441" s="5" t="s">
        <v>47</v>
      </c>
    </row>
    <row r="442" spans="1:1" x14ac:dyDescent="0.25">
      <c r="A442" s="5" t="s">
        <v>47</v>
      </c>
    </row>
    <row r="443" spans="1:1" x14ac:dyDescent="0.25">
      <c r="A443" s="5" t="s">
        <v>47</v>
      </c>
    </row>
    <row r="444" spans="1:1" x14ac:dyDescent="0.25">
      <c r="A444" s="5" t="s">
        <v>47</v>
      </c>
    </row>
    <row r="445" spans="1:1" x14ac:dyDescent="0.25">
      <c r="A445" s="5" t="s">
        <v>47</v>
      </c>
    </row>
    <row r="446" spans="1:1" x14ac:dyDescent="0.25">
      <c r="A446" s="5" t="s">
        <v>47</v>
      </c>
    </row>
    <row r="447" spans="1:1" x14ac:dyDescent="0.25">
      <c r="A447" s="5" t="s">
        <v>47</v>
      </c>
    </row>
    <row r="448" spans="1:1" x14ac:dyDescent="0.25">
      <c r="A448" s="5" t="s">
        <v>47</v>
      </c>
    </row>
    <row r="449" spans="1:1" x14ac:dyDescent="0.25">
      <c r="A449" s="5" t="s">
        <v>59</v>
      </c>
    </row>
    <row r="450" spans="1:1" x14ac:dyDescent="0.25">
      <c r="A450" s="5" t="s">
        <v>47</v>
      </c>
    </row>
    <row r="451" spans="1:1" x14ac:dyDescent="0.25">
      <c r="A451" s="5" t="s">
        <v>46</v>
      </c>
    </row>
    <row r="452" spans="1:1" x14ac:dyDescent="0.25">
      <c r="A452" s="5" t="s">
        <v>86</v>
      </c>
    </row>
    <row r="453" spans="1:1" x14ac:dyDescent="0.25">
      <c r="A453" s="5" t="s">
        <v>61</v>
      </c>
    </row>
    <row r="454" spans="1:1" x14ac:dyDescent="0.25">
      <c r="A454" s="5" t="s">
        <v>87</v>
      </c>
    </row>
    <row r="455" spans="1:1" x14ac:dyDescent="0.25">
      <c r="A455" s="5" t="s">
        <v>37</v>
      </c>
    </row>
    <row r="456" spans="1:1" x14ac:dyDescent="0.25">
      <c r="A456" s="5" t="s">
        <v>31</v>
      </c>
    </row>
    <row r="457" spans="1:1" x14ac:dyDescent="0.25">
      <c r="A457" s="5" t="s">
        <v>67</v>
      </c>
    </row>
    <row r="458" spans="1:1" x14ac:dyDescent="0.25">
      <c r="A458" s="5" t="s">
        <v>64</v>
      </c>
    </row>
    <row r="459" spans="1:1" x14ac:dyDescent="0.25">
      <c r="A459" s="5" t="s">
        <v>35</v>
      </c>
    </row>
    <row r="460" spans="1:1" x14ac:dyDescent="0.25">
      <c r="A460" s="5" t="s">
        <v>88</v>
      </c>
    </row>
    <row r="461" spans="1:1" x14ac:dyDescent="0.25">
      <c r="A461" s="5" t="s">
        <v>56</v>
      </c>
    </row>
    <row r="462" spans="1:1" x14ac:dyDescent="0.25">
      <c r="A462" s="5" t="s">
        <v>87</v>
      </c>
    </row>
    <row r="463" spans="1:1" x14ac:dyDescent="0.25">
      <c r="A463" s="5" t="s">
        <v>32</v>
      </c>
    </row>
    <row r="464" spans="1:1" x14ac:dyDescent="0.25">
      <c r="A464" s="5" t="s">
        <v>33</v>
      </c>
    </row>
    <row r="465" spans="1:1" x14ac:dyDescent="0.25">
      <c r="A465" s="5" t="s">
        <v>45</v>
      </c>
    </row>
    <row r="466" spans="1:1" x14ac:dyDescent="0.25">
      <c r="A466" s="5" t="s">
        <v>55</v>
      </c>
    </row>
    <row r="467" spans="1:1" x14ac:dyDescent="0.25">
      <c r="A467" s="5" t="s">
        <v>55</v>
      </c>
    </row>
    <row r="468" spans="1:1" x14ac:dyDescent="0.25">
      <c r="A468" s="5" t="s">
        <v>55</v>
      </c>
    </row>
    <row r="469" spans="1:1" x14ac:dyDescent="0.25">
      <c r="A469" s="5" t="s">
        <v>55</v>
      </c>
    </row>
    <row r="470" spans="1:1" x14ac:dyDescent="0.25">
      <c r="A470" s="5" t="s">
        <v>87</v>
      </c>
    </row>
    <row r="471" spans="1:1" x14ac:dyDescent="0.25">
      <c r="A471" s="5" t="s">
        <v>87</v>
      </c>
    </row>
    <row r="472" spans="1:1" x14ac:dyDescent="0.25">
      <c r="A472" s="5" t="s">
        <v>87</v>
      </c>
    </row>
    <row r="473" spans="1:1" x14ac:dyDescent="0.25">
      <c r="A473" s="5" t="s">
        <v>87</v>
      </c>
    </row>
    <row r="474" spans="1:1" x14ac:dyDescent="0.25">
      <c r="A474" s="5" t="s">
        <v>87</v>
      </c>
    </row>
    <row r="475" spans="1:1" x14ac:dyDescent="0.25">
      <c r="A475" s="5" t="s">
        <v>87</v>
      </c>
    </row>
    <row r="476" spans="1:1" x14ac:dyDescent="0.25">
      <c r="A476" s="5" t="s">
        <v>72</v>
      </c>
    </row>
    <row r="477" spans="1:1" x14ac:dyDescent="0.25">
      <c r="A477" s="5" t="s">
        <v>34</v>
      </c>
    </row>
    <row r="478" spans="1:1" x14ac:dyDescent="0.25">
      <c r="A478" s="5" t="s">
        <v>32</v>
      </c>
    </row>
    <row r="479" spans="1:1" x14ac:dyDescent="0.25">
      <c r="A479" s="5" t="s">
        <v>33</v>
      </c>
    </row>
    <row r="480" spans="1:1" x14ac:dyDescent="0.25">
      <c r="A480" s="5" t="s">
        <v>46</v>
      </c>
    </row>
    <row r="481" spans="1:1" x14ac:dyDescent="0.25">
      <c r="A481" s="5" t="s">
        <v>55</v>
      </c>
    </row>
    <row r="482" spans="1:1" x14ac:dyDescent="0.25">
      <c r="A482" s="5" t="s">
        <v>39</v>
      </c>
    </row>
    <row r="483" spans="1:1" x14ac:dyDescent="0.25">
      <c r="A483" s="5" t="s">
        <v>69</v>
      </c>
    </row>
    <row r="484" spans="1:1" x14ac:dyDescent="0.25">
      <c r="A484" s="5" t="s">
        <v>55</v>
      </c>
    </row>
    <row r="485" spans="1:1" x14ac:dyDescent="0.25">
      <c r="A485" s="5" t="s">
        <v>64</v>
      </c>
    </row>
    <row r="486" spans="1:1" x14ac:dyDescent="0.25">
      <c r="A486" s="5" t="s">
        <v>89</v>
      </c>
    </row>
    <row r="487" spans="1:1" x14ac:dyDescent="0.25">
      <c r="A487" s="5" t="s">
        <v>89</v>
      </c>
    </row>
    <row r="488" spans="1:1" x14ac:dyDescent="0.25">
      <c r="A488" s="5" t="s">
        <v>55</v>
      </c>
    </row>
    <row r="489" spans="1:1" x14ac:dyDescent="0.25">
      <c r="A489" s="5" t="s">
        <v>49</v>
      </c>
    </row>
    <row r="490" spans="1:1" x14ac:dyDescent="0.25">
      <c r="A490" s="5" t="s">
        <v>55</v>
      </c>
    </row>
    <row r="491" spans="1:1" x14ac:dyDescent="0.25">
      <c r="A491" s="5" t="s">
        <v>55</v>
      </c>
    </row>
    <row r="492" spans="1:1" x14ac:dyDescent="0.25">
      <c r="A492" s="5" t="s">
        <v>55</v>
      </c>
    </row>
    <row r="493" spans="1:1" x14ac:dyDescent="0.25">
      <c r="A493" s="5" t="s">
        <v>55</v>
      </c>
    </row>
    <row r="494" spans="1:1" x14ac:dyDescent="0.25">
      <c r="A494" s="5" t="s">
        <v>90</v>
      </c>
    </row>
    <row r="495" spans="1:1" x14ac:dyDescent="0.25">
      <c r="A495" s="5" t="s">
        <v>66</v>
      </c>
    </row>
    <row r="496" spans="1:1" x14ac:dyDescent="0.25">
      <c r="A496" s="5" t="s">
        <v>66</v>
      </c>
    </row>
    <row r="497" spans="1:1" x14ac:dyDescent="0.25">
      <c r="A497" s="5" t="s">
        <v>69</v>
      </c>
    </row>
    <row r="498" spans="1:1" x14ac:dyDescent="0.25">
      <c r="A498" s="5" t="s">
        <v>64</v>
      </c>
    </row>
    <row r="499" spans="1:1" x14ac:dyDescent="0.25">
      <c r="A499" s="5" t="s">
        <v>46</v>
      </c>
    </row>
    <row r="500" spans="1:1" x14ac:dyDescent="0.25">
      <c r="A500" s="5" t="s">
        <v>89</v>
      </c>
    </row>
    <row r="501" spans="1:1" x14ac:dyDescent="0.25">
      <c r="A501" s="5" t="s">
        <v>71</v>
      </c>
    </row>
    <row r="502" spans="1:1" x14ac:dyDescent="0.25">
      <c r="A502" s="5" t="s">
        <v>71</v>
      </c>
    </row>
    <row r="503" spans="1:1" x14ac:dyDescent="0.25">
      <c r="A503" s="5" t="s">
        <v>71</v>
      </c>
    </row>
    <row r="504" spans="1:1" x14ac:dyDescent="0.25">
      <c r="A504" s="5" t="s">
        <v>71</v>
      </c>
    </row>
    <row r="505" spans="1:1" x14ac:dyDescent="0.25">
      <c r="A505" s="5" t="s">
        <v>71</v>
      </c>
    </row>
    <row r="506" spans="1:1" x14ac:dyDescent="0.25">
      <c r="A506" s="5" t="s">
        <v>71</v>
      </c>
    </row>
    <row r="507" spans="1:1" x14ac:dyDescent="0.25">
      <c r="A507" s="5" t="s">
        <v>71</v>
      </c>
    </row>
    <row r="508" spans="1:1" x14ac:dyDescent="0.25">
      <c r="A508" s="5" t="s">
        <v>71</v>
      </c>
    </row>
    <row r="509" spans="1:1" x14ac:dyDescent="0.25">
      <c r="A509" s="5" t="s">
        <v>71</v>
      </c>
    </row>
    <row r="510" spans="1:1" x14ac:dyDescent="0.25">
      <c r="A510" s="5" t="s">
        <v>91</v>
      </c>
    </row>
    <row r="511" spans="1:1" x14ac:dyDescent="0.25">
      <c r="A511" s="5" t="s">
        <v>71</v>
      </c>
    </row>
    <row r="512" spans="1:1" x14ac:dyDescent="0.25">
      <c r="A512" s="5" t="s">
        <v>71</v>
      </c>
    </row>
    <row r="513" spans="1:1" x14ac:dyDescent="0.25">
      <c r="A513" s="5" t="s">
        <v>71</v>
      </c>
    </row>
    <row r="514" spans="1:1" x14ac:dyDescent="0.25">
      <c r="A514" s="5" t="s">
        <v>39</v>
      </c>
    </row>
    <row r="515" spans="1:1" x14ac:dyDescent="0.25">
      <c r="A515" s="5" t="s">
        <v>37</v>
      </c>
    </row>
    <row r="516" spans="1:1" x14ac:dyDescent="0.25">
      <c r="A516" s="5" t="s">
        <v>64</v>
      </c>
    </row>
    <row r="517" spans="1:1" x14ac:dyDescent="0.25">
      <c r="A517" s="5" t="s">
        <v>49</v>
      </c>
    </row>
    <row r="518" spans="1:1" x14ac:dyDescent="0.25">
      <c r="A518" s="5" t="s">
        <v>45</v>
      </c>
    </row>
    <row r="519" spans="1:1" x14ac:dyDescent="0.25">
      <c r="A519" s="5" t="s">
        <v>31</v>
      </c>
    </row>
    <row r="520" spans="1:1" x14ac:dyDescent="0.25">
      <c r="A520" s="5" t="s">
        <v>43</v>
      </c>
    </row>
    <row r="521" spans="1:1" x14ac:dyDescent="0.25">
      <c r="A521" s="5" t="s">
        <v>43</v>
      </c>
    </row>
    <row r="522" spans="1:1" x14ac:dyDescent="0.25">
      <c r="A522" s="5" t="s">
        <v>69</v>
      </c>
    </row>
    <row r="523" spans="1:1" x14ac:dyDescent="0.25">
      <c r="A523" s="5" t="s">
        <v>43</v>
      </c>
    </row>
    <row r="524" spans="1:1" x14ac:dyDescent="0.25">
      <c r="A524" s="5" t="s">
        <v>64</v>
      </c>
    </row>
    <row r="525" spans="1:1" x14ac:dyDescent="0.25">
      <c r="A525" s="5" t="s">
        <v>46</v>
      </c>
    </row>
    <row r="526" spans="1:1" x14ac:dyDescent="0.25">
      <c r="A526" s="5" t="s">
        <v>43</v>
      </c>
    </row>
    <row r="527" spans="1:1" x14ac:dyDescent="0.25">
      <c r="A527" s="5" t="s">
        <v>48</v>
      </c>
    </row>
    <row r="528" spans="1:1" x14ac:dyDescent="0.25">
      <c r="A528" s="5" t="s">
        <v>48</v>
      </c>
    </row>
    <row r="529" spans="1:1" x14ac:dyDescent="0.25">
      <c r="A529" s="5" t="s">
        <v>48</v>
      </c>
    </row>
    <row r="530" spans="1:1" x14ac:dyDescent="0.25">
      <c r="A530" s="5" t="s">
        <v>48</v>
      </c>
    </row>
    <row r="531" spans="1:1" x14ac:dyDescent="0.25">
      <c r="A531" s="5" t="s">
        <v>48</v>
      </c>
    </row>
    <row r="532" spans="1:1" x14ac:dyDescent="0.25">
      <c r="A532" s="5" t="s">
        <v>74</v>
      </c>
    </row>
    <row r="533" spans="1:1" x14ac:dyDescent="0.25">
      <c r="A533" s="5" t="s">
        <v>59</v>
      </c>
    </row>
    <row r="534" spans="1:1" x14ac:dyDescent="0.25">
      <c r="A534" s="5" t="s">
        <v>92</v>
      </c>
    </row>
    <row r="535" spans="1:1" x14ac:dyDescent="0.25">
      <c r="A535" s="5" t="s">
        <v>54</v>
      </c>
    </row>
    <row r="536" spans="1:1" x14ac:dyDescent="0.25">
      <c r="A536" s="5" t="s">
        <v>93</v>
      </c>
    </row>
    <row r="537" spans="1:1" x14ac:dyDescent="0.25">
      <c r="A537" s="5" t="s">
        <v>39</v>
      </c>
    </row>
    <row r="538" spans="1:1" x14ac:dyDescent="0.25">
      <c r="A538" s="5" t="s">
        <v>35</v>
      </c>
    </row>
    <row r="539" spans="1:1" x14ac:dyDescent="0.25">
      <c r="A539" s="5" t="s">
        <v>40</v>
      </c>
    </row>
    <row r="540" spans="1:1" x14ac:dyDescent="0.25">
      <c r="A540" s="5" t="s">
        <v>64</v>
      </c>
    </row>
    <row r="541" spans="1:1" x14ac:dyDescent="0.25">
      <c r="A541" s="5" t="s">
        <v>94</v>
      </c>
    </row>
    <row r="542" spans="1:1" x14ac:dyDescent="0.25">
      <c r="A542" s="5" t="s">
        <v>31</v>
      </c>
    </row>
    <row r="543" spans="1:1" x14ac:dyDescent="0.25">
      <c r="A543" s="5" t="s">
        <v>85</v>
      </c>
    </row>
    <row r="544" spans="1:1" x14ac:dyDescent="0.25">
      <c r="A544" s="5" t="s">
        <v>95</v>
      </c>
    </row>
    <row r="545" spans="1:1" x14ac:dyDescent="0.25">
      <c r="A545" s="5" t="s">
        <v>69</v>
      </c>
    </row>
    <row r="546" spans="1:1" x14ac:dyDescent="0.25">
      <c r="A546" s="5" t="s">
        <v>54</v>
      </c>
    </row>
    <row r="547" spans="1:1" x14ac:dyDescent="0.25">
      <c r="A547" s="5" t="s">
        <v>96</v>
      </c>
    </row>
    <row r="548" spans="1:1" x14ac:dyDescent="0.25">
      <c r="A548" s="5" t="s">
        <v>96</v>
      </c>
    </row>
    <row r="549" spans="1:1" x14ac:dyDescent="0.25">
      <c r="A549" s="5" t="s">
        <v>96</v>
      </c>
    </row>
    <row r="550" spans="1:1" x14ac:dyDescent="0.25">
      <c r="A550" s="5" t="s">
        <v>96</v>
      </c>
    </row>
    <row r="551" spans="1:1" x14ac:dyDescent="0.25">
      <c r="A551" s="5" t="s">
        <v>96</v>
      </c>
    </row>
    <row r="552" spans="1:1" x14ac:dyDescent="0.25">
      <c r="A552" s="5" t="s">
        <v>96</v>
      </c>
    </row>
    <row r="553" spans="1:1" x14ac:dyDescent="0.25">
      <c r="A553" s="5" t="s">
        <v>96</v>
      </c>
    </row>
    <row r="554" spans="1:1" x14ac:dyDescent="0.25">
      <c r="A554" s="5" t="s">
        <v>96</v>
      </c>
    </row>
    <row r="555" spans="1:1" x14ac:dyDescent="0.25">
      <c r="A555" s="5" t="s">
        <v>96</v>
      </c>
    </row>
    <row r="556" spans="1:1" x14ac:dyDescent="0.25">
      <c r="A556" s="5" t="s">
        <v>97</v>
      </c>
    </row>
    <row r="557" spans="1:1" x14ac:dyDescent="0.25">
      <c r="A557" s="5" t="s">
        <v>97</v>
      </c>
    </row>
    <row r="558" spans="1:1" x14ac:dyDescent="0.25">
      <c r="A558" s="5" t="s">
        <v>97</v>
      </c>
    </row>
    <row r="559" spans="1:1" x14ac:dyDescent="0.25">
      <c r="A559" s="5" t="s">
        <v>97</v>
      </c>
    </row>
    <row r="560" spans="1:1" x14ac:dyDescent="0.25">
      <c r="A560" s="5" t="s">
        <v>97</v>
      </c>
    </row>
    <row r="561" spans="1:1" x14ac:dyDescent="0.25">
      <c r="A561" s="5" t="s">
        <v>97</v>
      </c>
    </row>
    <row r="562" spans="1:1" x14ac:dyDescent="0.25">
      <c r="A562" s="5" t="s">
        <v>97</v>
      </c>
    </row>
    <row r="563" spans="1:1" x14ac:dyDescent="0.25">
      <c r="A563" s="5" t="s">
        <v>64</v>
      </c>
    </row>
    <row r="564" spans="1:1" x14ac:dyDescent="0.25">
      <c r="A564" s="5" t="s">
        <v>64</v>
      </c>
    </row>
    <row r="565" spans="1:1" x14ac:dyDescent="0.25">
      <c r="A565" s="5" t="s">
        <v>64</v>
      </c>
    </row>
    <row r="566" spans="1:1" x14ac:dyDescent="0.25">
      <c r="A566" s="5" t="s">
        <v>64</v>
      </c>
    </row>
    <row r="567" spans="1:1" x14ac:dyDescent="0.25">
      <c r="A567" s="5" t="s">
        <v>43</v>
      </c>
    </row>
    <row r="568" spans="1:1" x14ac:dyDescent="0.25">
      <c r="A568" s="5" t="s">
        <v>43</v>
      </c>
    </row>
    <row r="569" spans="1:1" x14ac:dyDescent="0.25">
      <c r="A569" s="5" t="s">
        <v>54</v>
      </c>
    </row>
    <row r="570" spans="1:1" x14ac:dyDescent="0.25">
      <c r="A570" s="5" t="s">
        <v>43</v>
      </c>
    </row>
    <row r="571" spans="1:1" x14ac:dyDescent="0.25">
      <c r="A571" s="5" t="s">
        <v>54</v>
      </c>
    </row>
    <row r="572" spans="1:1" x14ac:dyDescent="0.25">
      <c r="A572" s="5" t="s">
        <v>46</v>
      </c>
    </row>
    <row r="573" spans="1:1" x14ac:dyDescent="0.25">
      <c r="A573" s="5" t="s">
        <v>43</v>
      </c>
    </row>
    <row r="574" spans="1:1" x14ac:dyDescent="0.25">
      <c r="A574" s="5" t="s">
        <v>54</v>
      </c>
    </row>
    <row r="575" spans="1:1" x14ac:dyDescent="0.25">
      <c r="A575" s="5" t="s">
        <v>43</v>
      </c>
    </row>
    <row r="576" spans="1:1" x14ac:dyDescent="0.25">
      <c r="A576" s="5" t="s">
        <v>43</v>
      </c>
    </row>
    <row r="577" spans="1:1" x14ac:dyDescent="0.25">
      <c r="A577" s="5" t="s">
        <v>31</v>
      </c>
    </row>
    <row r="578" spans="1:1" x14ac:dyDescent="0.25">
      <c r="A578" s="5" t="s">
        <v>43</v>
      </c>
    </row>
    <row r="579" spans="1:1" x14ac:dyDescent="0.25">
      <c r="A579" s="5" t="s">
        <v>69</v>
      </c>
    </row>
    <row r="580" spans="1:1" x14ac:dyDescent="0.25">
      <c r="A580" s="5" t="s">
        <v>37</v>
      </c>
    </row>
    <row r="581" spans="1:1" x14ac:dyDescent="0.25">
      <c r="A581" s="5" t="s">
        <v>47</v>
      </c>
    </row>
    <row r="582" spans="1:1" x14ac:dyDescent="0.25">
      <c r="A582" s="5" t="s">
        <v>47</v>
      </c>
    </row>
    <row r="583" spans="1:1" x14ac:dyDescent="0.25">
      <c r="A583" s="5" t="s">
        <v>47</v>
      </c>
    </row>
    <row r="584" spans="1:1" x14ac:dyDescent="0.25">
      <c r="A584" s="5" t="s">
        <v>47</v>
      </c>
    </row>
    <row r="585" spans="1:1" x14ac:dyDescent="0.25">
      <c r="A585" s="5" t="s">
        <v>47</v>
      </c>
    </row>
    <row r="586" spans="1:1" x14ac:dyDescent="0.25">
      <c r="A586" s="5" t="s">
        <v>87</v>
      </c>
    </row>
    <row r="587" spans="1:1" x14ac:dyDescent="0.25">
      <c r="A587" s="5" t="s">
        <v>47</v>
      </c>
    </row>
    <row r="588" spans="1:1" x14ac:dyDescent="0.25">
      <c r="A588" s="5" t="s">
        <v>87</v>
      </c>
    </row>
    <row r="589" spans="1:1" x14ac:dyDescent="0.25">
      <c r="A589" s="5" t="s">
        <v>53</v>
      </c>
    </row>
    <row r="590" spans="1:1" x14ac:dyDescent="0.25">
      <c r="A590" s="5" t="s">
        <v>59</v>
      </c>
    </row>
    <row r="591" spans="1:1" x14ac:dyDescent="0.25">
      <c r="A591" s="5" t="s">
        <v>34</v>
      </c>
    </row>
    <row r="592" spans="1:1" x14ac:dyDescent="0.25">
      <c r="A592" s="5" t="s">
        <v>34</v>
      </c>
    </row>
    <row r="593" spans="1:1" x14ac:dyDescent="0.25">
      <c r="A593" s="5" t="s">
        <v>34</v>
      </c>
    </row>
    <row r="594" spans="1:1" x14ac:dyDescent="0.25">
      <c r="A594" s="5" t="s">
        <v>90</v>
      </c>
    </row>
    <row r="595" spans="1:1" x14ac:dyDescent="0.25">
      <c r="A595" s="5" t="s">
        <v>28</v>
      </c>
    </row>
    <row r="596" spans="1:1" x14ac:dyDescent="0.25">
      <c r="A596" s="5" t="s">
        <v>46</v>
      </c>
    </row>
    <row r="597" spans="1:1" x14ac:dyDescent="0.25">
      <c r="A597" s="5" t="s">
        <v>61</v>
      </c>
    </row>
    <row r="598" spans="1:1" x14ac:dyDescent="0.25">
      <c r="A598" s="5" t="s">
        <v>61</v>
      </c>
    </row>
    <row r="599" spans="1:1" x14ac:dyDescent="0.25">
      <c r="A599" s="5" t="s">
        <v>54</v>
      </c>
    </row>
    <row r="600" spans="1:1" x14ac:dyDescent="0.25">
      <c r="A600" s="5" t="s">
        <v>31</v>
      </c>
    </row>
    <row r="601" spans="1:1" x14ac:dyDescent="0.25">
      <c r="A601" s="5" t="s">
        <v>69</v>
      </c>
    </row>
    <row r="602" spans="1:1" x14ac:dyDescent="0.25">
      <c r="A602" s="5" t="s">
        <v>47</v>
      </c>
    </row>
    <row r="603" spans="1:1" x14ac:dyDescent="0.25">
      <c r="A603" s="5" t="s">
        <v>37</v>
      </c>
    </row>
    <row r="604" spans="1:1" x14ac:dyDescent="0.25">
      <c r="A604" s="5" t="s">
        <v>45</v>
      </c>
    </row>
    <row r="605" spans="1:1" x14ac:dyDescent="0.25">
      <c r="A605" s="5" t="s">
        <v>77</v>
      </c>
    </row>
    <row r="606" spans="1:1" x14ac:dyDescent="0.25">
      <c r="A606" s="5" t="s">
        <v>59</v>
      </c>
    </row>
    <row r="607" spans="1:1" x14ac:dyDescent="0.25">
      <c r="A607" s="5" t="s">
        <v>59</v>
      </c>
    </row>
    <row r="608" spans="1:1" x14ac:dyDescent="0.25">
      <c r="A608" s="5" t="s">
        <v>46</v>
      </c>
    </row>
    <row r="609" spans="1:1" x14ac:dyDescent="0.25">
      <c r="A609" s="5" t="s">
        <v>59</v>
      </c>
    </row>
    <row r="610" spans="1:1" x14ac:dyDescent="0.25">
      <c r="A610" s="5" t="s">
        <v>59</v>
      </c>
    </row>
    <row r="611" spans="1:1" x14ac:dyDescent="0.25">
      <c r="A611" s="5" t="s">
        <v>64</v>
      </c>
    </row>
    <row r="612" spans="1:1" x14ac:dyDescent="0.25">
      <c r="A612" s="5" t="s">
        <v>64</v>
      </c>
    </row>
    <row r="613" spans="1:1" x14ac:dyDescent="0.25">
      <c r="A613" s="5" t="s">
        <v>98</v>
      </c>
    </row>
    <row r="614" spans="1:1" x14ac:dyDescent="0.25">
      <c r="A614" s="5" t="s">
        <v>54</v>
      </c>
    </row>
    <row r="615" spans="1:1" x14ac:dyDescent="0.25">
      <c r="A615" s="5" t="s">
        <v>59</v>
      </c>
    </row>
    <row r="616" spans="1:1" x14ac:dyDescent="0.25">
      <c r="A616" s="5" t="s">
        <v>28</v>
      </c>
    </row>
    <row r="617" spans="1:1" x14ac:dyDescent="0.25">
      <c r="A617" s="5" t="s">
        <v>83</v>
      </c>
    </row>
    <row r="618" spans="1:1" x14ac:dyDescent="0.25">
      <c r="A618" s="5" t="s">
        <v>59</v>
      </c>
    </row>
    <row r="619" spans="1:1" x14ac:dyDescent="0.25">
      <c r="A619" s="5" t="s">
        <v>59</v>
      </c>
    </row>
    <row r="620" spans="1:1" x14ac:dyDescent="0.25">
      <c r="A620" s="5" t="s">
        <v>99</v>
      </c>
    </row>
    <row r="621" spans="1:1" x14ac:dyDescent="0.25">
      <c r="A621" s="5" t="s">
        <v>59</v>
      </c>
    </row>
    <row r="622" spans="1:1" x14ac:dyDescent="0.25">
      <c r="A622" s="5" t="s">
        <v>59</v>
      </c>
    </row>
    <row r="623" spans="1:1" x14ac:dyDescent="0.25">
      <c r="A623" s="5" t="s">
        <v>100</v>
      </c>
    </row>
    <row r="624" spans="1:1" x14ac:dyDescent="0.25">
      <c r="A624" s="5" t="s">
        <v>59</v>
      </c>
    </row>
    <row r="625" spans="1:1" x14ac:dyDescent="0.25">
      <c r="A625" s="5" t="s">
        <v>59</v>
      </c>
    </row>
    <row r="626" spans="1:1" x14ac:dyDescent="0.25">
      <c r="A626" s="5" t="s">
        <v>59</v>
      </c>
    </row>
    <row r="627" spans="1:1" x14ac:dyDescent="0.25">
      <c r="A627" s="5" t="s">
        <v>101</v>
      </c>
    </row>
    <row r="628" spans="1:1" x14ac:dyDescent="0.25">
      <c r="A628" s="5" t="s">
        <v>101</v>
      </c>
    </row>
    <row r="629" spans="1:1" x14ac:dyDescent="0.25">
      <c r="A629" s="5" t="s">
        <v>101</v>
      </c>
    </row>
    <row r="630" spans="1:1" x14ac:dyDescent="0.25">
      <c r="A630" s="5" t="s">
        <v>66</v>
      </c>
    </row>
    <row r="631" spans="1:1" x14ac:dyDescent="0.25">
      <c r="A631" s="5" t="s">
        <v>59</v>
      </c>
    </row>
    <row r="632" spans="1:1" x14ac:dyDescent="0.25">
      <c r="A632" s="5" t="s">
        <v>59</v>
      </c>
    </row>
    <row r="633" spans="1:1" x14ac:dyDescent="0.25">
      <c r="A633" s="5" t="s">
        <v>65</v>
      </c>
    </row>
    <row r="634" spans="1:1" x14ac:dyDescent="0.25">
      <c r="A634" s="5" t="s">
        <v>49</v>
      </c>
    </row>
    <row r="635" spans="1:1" x14ac:dyDescent="0.25">
      <c r="A635" s="5" t="s">
        <v>65</v>
      </c>
    </row>
    <row r="636" spans="1:1" x14ac:dyDescent="0.25">
      <c r="A636" s="5" t="s">
        <v>65</v>
      </c>
    </row>
    <row r="637" spans="1:1" x14ac:dyDescent="0.25">
      <c r="A637" s="5" t="s">
        <v>85</v>
      </c>
    </row>
    <row r="638" spans="1:1" x14ac:dyDescent="0.25">
      <c r="A638" s="5" t="s">
        <v>65</v>
      </c>
    </row>
    <row r="639" spans="1:1" x14ac:dyDescent="0.25">
      <c r="A639" s="5" t="s">
        <v>31</v>
      </c>
    </row>
    <row r="640" spans="1:1" x14ac:dyDescent="0.25">
      <c r="A640" s="5" t="s">
        <v>31</v>
      </c>
    </row>
    <row r="641" spans="1:1" x14ac:dyDescent="0.25">
      <c r="A641" s="5" t="s">
        <v>31</v>
      </c>
    </row>
    <row r="642" spans="1:1" x14ac:dyDescent="0.25">
      <c r="A642" s="5" t="s">
        <v>31</v>
      </c>
    </row>
    <row r="643" spans="1:1" x14ac:dyDescent="0.25">
      <c r="A643" s="5" t="s">
        <v>31</v>
      </c>
    </row>
    <row r="644" spans="1:1" x14ac:dyDescent="0.25">
      <c r="A644" s="5" t="s">
        <v>31</v>
      </c>
    </row>
    <row r="645" spans="1:1" x14ac:dyDescent="0.25">
      <c r="A645" s="5" t="s">
        <v>46</v>
      </c>
    </row>
    <row r="646" spans="1:1" x14ac:dyDescent="0.25">
      <c r="A646" s="5" t="s">
        <v>69</v>
      </c>
    </row>
    <row r="647" spans="1:1" x14ac:dyDescent="0.25">
      <c r="A647" s="5" t="s">
        <v>38</v>
      </c>
    </row>
    <row r="648" spans="1:1" x14ac:dyDescent="0.25">
      <c r="A648" s="5" t="s">
        <v>38</v>
      </c>
    </row>
    <row r="649" spans="1:1" x14ac:dyDescent="0.25">
      <c r="A649" s="5" t="s">
        <v>38</v>
      </c>
    </row>
    <row r="650" spans="1:1" x14ac:dyDescent="0.25">
      <c r="A650" s="5" t="s">
        <v>38</v>
      </c>
    </row>
    <row r="651" spans="1:1" x14ac:dyDescent="0.25">
      <c r="A651" s="5" t="s">
        <v>38</v>
      </c>
    </row>
    <row r="652" spans="1:1" x14ac:dyDescent="0.25">
      <c r="A652" s="5" t="s">
        <v>38</v>
      </c>
    </row>
    <row r="653" spans="1:1" x14ac:dyDescent="0.25">
      <c r="A653" s="5" t="s">
        <v>38</v>
      </c>
    </row>
    <row r="654" spans="1:1" x14ac:dyDescent="0.25">
      <c r="A654" s="5" t="s">
        <v>38</v>
      </c>
    </row>
    <row r="655" spans="1:1" x14ac:dyDescent="0.25">
      <c r="A655" s="5" t="s">
        <v>38</v>
      </c>
    </row>
    <row r="656" spans="1:1" x14ac:dyDescent="0.25">
      <c r="A656" s="5" t="s">
        <v>54</v>
      </c>
    </row>
    <row r="657" spans="1:1" x14ac:dyDescent="0.25">
      <c r="A657" s="5" t="s">
        <v>54</v>
      </c>
    </row>
    <row r="658" spans="1:1" x14ac:dyDescent="0.25">
      <c r="A658" s="5" t="s">
        <v>54</v>
      </c>
    </row>
    <row r="659" spans="1:1" x14ac:dyDescent="0.25">
      <c r="A659" s="5" t="s">
        <v>54</v>
      </c>
    </row>
    <row r="660" spans="1:1" x14ac:dyDescent="0.25">
      <c r="A660" s="5" t="s">
        <v>54</v>
      </c>
    </row>
    <row r="661" spans="1:1" x14ac:dyDescent="0.25">
      <c r="A661" s="5" t="s">
        <v>54</v>
      </c>
    </row>
    <row r="662" spans="1:1" x14ac:dyDescent="0.25">
      <c r="A662" s="5" t="s">
        <v>35</v>
      </c>
    </row>
    <row r="663" spans="1:1" x14ac:dyDescent="0.25">
      <c r="A663" s="5" t="s">
        <v>59</v>
      </c>
    </row>
    <row r="664" spans="1:1" x14ac:dyDescent="0.25">
      <c r="A664" s="5" t="s">
        <v>70</v>
      </c>
    </row>
    <row r="665" spans="1:1" x14ac:dyDescent="0.25">
      <c r="A665" s="5" t="s">
        <v>70</v>
      </c>
    </row>
    <row r="666" spans="1:1" x14ac:dyDescent="0.25">
      <c r="A666" s="5" t="s">
        <v>99</v>
      </c>
    </row>
    <row r="667" spans="1:1" x14ac:dyDescent="0.25">
      <c r="A667" s="5" t="s">
        <v>70</v>
      </c>
    </row>
    <row r="668" spans="1:1" x14ac:dyDescent="0.25">
      <c r="A668" s="5" t="s">
        <v>99</v>
      </c>
    </row>
    <row r="669" spans="1:1" x14ac:dyDescent="0.25">
      <c r="A669" s="5" t="s">
        <v>101</v>
      </c>
    </row>
    <row r="670" spans="1:1" x14ac:dyDescent="0.25">
      <c r="A670" s="5" t="s">
        <v>101</v>
      </c>
    </row>
    <row r="671" spans="1:1" x14ac:dyDescent="0.25">
      <c r="A671" s="5" t="s">
        <v>101</v>
      </c>
    </row>
    <row r="672" spans="1:1" x14ac:dyDescent="0.25">
      <c r="A672" s="5" t="s">
        <v>101</v>
      </c>
    </row>
    <row r="673" spans="1:1" x14ac:dyDescent="0.25">
      <c r="A673" s="5" t="s">
        <v>101</v>
      </c>
    </row>
    <row r="674" spans="1:1" x14ac:dyDescent="0.25">
      <c r="A674" s="5" t="s">
        <v>101</v>
      </c>
    </row>
    <row r="675" spans="1:1" x14ac:dyDescent="0.25">
      <c r="A675" s="5" t="s">
        <v>101</v>
      </c>
    </row>
    <row r="676" spans="1:1" x14ac:dyDescent="0.25">
      <c r="A676" s="5" t="s">
        <v>101</v>
      </c>
    </row>
    <row r="677" spans="1:1" x14ac:dyDescent="0.25">
      <c r="A677" s="5" t="s">
        <v>74</v>
      </c>
    </row>
    <row r="678" spans="1:1" x14ac:dyDescent="0.25">
      <c r="A678" s="5" t="s">
        <v>101</v>
      </c>
    </row>
    <row r="679" spans="1:1" x14ac:dyDescent="0.25">
      <c r="A679" s="5" t="s">
        <v>74</v>
      </c>
    </row>
    <row r="680" spans="1:1" x14ac:dyDescent="0.25">
      <c r="A680" s="5" t="s">
        <v>38</v>
      </c>
    </row>
    <row r="681" spans="1:1" x14ac:dyDescent="0.25">
      <c r="A681" s="5" t="s">
        <v>28</v>
      </c>
    </row>
    <row r="682" spans="1:1" x14ac:dyDescent="0.25">
      <c r="A682" s="5" t="s">
        <v>64</v>
      </c>
    </row>
    <row r="683" spans="1:1" x14ac:dyDescent="0.25">
      <c r="A683" s="5" t="s">
        <v>38</v>
      </c>
    </row>
    <row r="684" spans="1:1" x14ac:dyDescent="0.25">
      <c r="A684" s="5" t="s">
        <v>38</v>
      </c>
    </row>
    <row r="685" spans="1:1" x14ac:dyDescent="0.25">
      <c r="A685" s="5" t="s">
        <v>38</v>
      </c>
    </row>
    <row r="686" spans="1:1" x14ac:dyDescent="0.25">
      <c r="A686" s="5" t="s">
        <v>38</v>
      </c>
    </row>
    <row r="687" spans="1:1" x14ac:dyDescent="0.25">
      <c r="A687" s="5" t="s">
        <v>101</v>
      </c>
    </row>
    <row r="688" spans="1:1" x14ac:dyDescent="0.25">
      <c r="A688" s="5" t="s">
        <v>38</v>
      </c>
    </row>
    <row r="689" spans="1:1" x14ac:dyDescent="0.25">
      <c r="A689" s="5" t="s">
        <v>38</v>
      </c>
    </row>
    <row r="690" spans="1:1" x14ac:dyDescent="0.25">
      <c r="A690" s="5" t="s">
        <v>102</v>
      </c>
    </row>
    <row r="691" spans="1:1" x14ac:dyDescent="0.25">
      <c r="A691" s="5" t="s">
        <v>38</v>
      </c>
    </row>
    <row r="692" spans="1:1" x14ac:dyDescent="0.25">
      <c r="A692" s="5" t="s">
        <v>101</v>
      </c>
    </row>
    <row r="693" spans="1:1" x14ac:dyDescent="0.25">
      <c r="A693" s="5" t="s">
        <v>70</v>
      </c>
    </row>
    <row r="694" spans="1:1" x14ac:dyDescent="0.25">
      <c r="A694" s="5" t="s">
        <v>38</v>
      </c>
    </row>
    <row r="695" spans="1:1" x14ac:dyDescent="0.25">
      <c r="A695" s="5" t="s">
        <v>101</v>
      </c>
    </row>
    <row r="696" spans="1:1" x14ac:dyDescent="0.25">
      <c r="A696" s="5" t="s">
        <v>70</v>
      </c>
    </row>
    <row r="697" spans="1:1" x14ac:dyDescent="0.25">
      <c r="A697" s="5" t="s">
        <v>74</v>
      </c>
    </row>
    <row r="698" spans="1:1" x14ac:dyDescent="0.25">
      <c r="A698" s="5" t="s">
        <v>38</v>
      </c>
    </row>
    <row r="699" spans="1:1" x14ac:dyDescent="0.25">
      <c r="A699" s="5" t="s">
        <v>101</v>
      </c>
    </row>
    <row r="700" spans="1:1" x14ac:dyDescent="0.25">
      <c r="A700" s="5" t="s">
        <v>74</v>
      </c>
    </row>
    <row r="701" spans="1:1" x14ac:dyDescent="0.25">
      <c r="A701" s="5" t="s">
        <v>74</v>
      </c>
    </row>
    <row r="702" spans="1:1" x14ac:dyDescent="0.25">
      <c r="A702" s="5" t="s">
        <v>38</v>
      </c>
    </row>
    <row r="703" spans="1:1" x14ac:dyDescent="0.25">
      <c r="A703" s="5" t="s">
        <v>103</v>
      </c>
    </row>
    <row r="704" spans="1:1" x14ac:dyDescent="0.25">
      <c r="A704" s="5" t="s">
        <v>38</v>
      </c>
    </row>
    <row r="705" spans="1:1" x14ac:dyDescent="0.25">
      <c r="A705" s="5" t="s">
        <v>101</v>
      </c>
    </row>
    <row r="706" spans="1:1" x14ac:dyDescent="0.25">
      <c r="A706" s="5" t="s">
        <v>101</v>
      </c>
    </row>
    <row r="707" spans="1:1" x14ac:dyDescent="0.25">
      <c r="A707" s="5" t="s">
        <v>83</v>
      </c>
    </row>
    <row r="708" spans="1:1" x14ac:dyDescent="0.25">
      <c r="A708" s="5" t="s">
        <v>101</v>
      </c>
    </row>
    <row r="709" spans="1:1" x14ac:dyDescent="0.25">
      <c r="A709" s="5" t="s">
        <v>101</v>
      </c>
    </row>
    <row r="710" spans="1:1" x14ac:dyDescent="0.25">
      <c r="A710" s="5" t="s">
        <v>101</v>
      </c>
    </row>
    <row r="711" spans="1:1" x14ac:dyDescent="0.25">
      <c r="A711" s="5" t="s">
        <v>54</v>
      </c>
    </row>
    <row r="712" spans="1:1" x14ac:dyDescent="0.25">
      <c r="A712" s="5" t="s">
        <v>70</v>
      </c>
    </row>
    <row r="713" spans="1:1" x14ac:dyDescent="0.25">
      <c r="A713" s="5" t="s">
        <v>70</v>
      </c>
    </row>
    <row r="714" spans="1:1" x14ac:dyDescent="0.25">
      <c r="A714" s="5" t="s">
        <v>70</v>
      </c>
    </row>
    <row r="715" spans="1:1" x14ac:dyDescent="0.25">
      <c r="A715" s="5" t="s">
        <v>70</v>
      </c>
    </row>
    <row r="716" spans="1:1" x14ac:dyDescent="0.25">
      <c r="A716" s="5" t="s">
        <v>54</v>
      </c>
    </row>
    <row r="717" spans="1:1" x14ac:dyDescent="0.25">
      <c r="A717" s="5" t="s">
        <v>54</v>
      </c>
    </row>
    <row r="718" spans="1:1" x14ac:dyDescent="0.25">
      <c r="A718" s="5" t="s">
        <v>54</v>
      </c>
    </row>
    <row r="719" spans="1:1" x14ac:dyDescent="0.25">
      <c r="A719" s="5" t="s">
        <v>54</v>
      </c>
    </row>
    <row r="720" spans="1:1" x14ac:dyDescent="0.25">
      <c r="A720" s="5" t="s">
        <v>101</v>
      </c>
    </row>
    <row r="721" spans="1:1" x14ac:dyDescent="0.25">
      <c r="A721" s="5" t="s">
        <v>101</v>
      </c>
    </row>
    <row r="722" spans="1:1" x14ac:dyDescent="0.25">
      <c r="A722" s="5" t="s">
        <v>101</v>
      </c>
    </row>
    <row r="723" spans="1:1" x14ac:dyDescent="0.25">
      <c r="A723" s="5" t="s">
        <v>101</v>
      </c>
    </row>
    <row r="724" spans="1:1" x14ac:dyDescent="0.25">
      <c r="A724" s="5" t="s">
        <v>37</v>
      </c>
    </row>
    <row r="725" spans="1:1" x14ac:dyDescent="0.25">
      <c r="A725" s="5" t="s">
        <v>101</v>
      </c>
    </row>
    <row r="726" spans="1:1" x14ac:dyDescent="0.25">
      <c r="A726" s="5" t="s">
        <v>74</v>
      </c>
    </row>
    <row r="727" spans="1:1" x14ac:dyDescent="0.25">
      <c r="A727" s="5" t="s">
        <v>28</v>
      </c>
    </row>
    <row r="728" spans="1:1" x14ac:dyDescent="0.25">
      <c r="A728" s="5" t="s">
        <v>28</v>
      </c>
    </row>
    <row r="729" spans="1:1" x14ac:dyDescent="0.25">
      <c r="A729" s="5" t="s">
        <v>74</v>
      </c>
    </row>
    <row r="730" spans="1:1" x14ac:dyDescent="0.25">
      <c r="A730" s="5" t="s">
        <v>74</v>
      </c>
    </row>
    <row r="731" spans="1:1" x14ac:dyDescent="0.25">
      <c r="A731" s="5" t="s">
        <v>101</v>
      </c>
    </row>
    <row r="732" spans="1:1" x14ac:dyDescent="0.25">
      <c r="A732" s="5" t="s">
        <v>49</v>
      </c>
    </row>
    <row r="733" spans="1:1" x14ac:dyDescent="0.25">
      <c r="A733" s="5" t="s">
        <v>101</v>
      </c>
    </row>
    <row r="734" spans="1:1" x14ac:dyDescent="0.25">
      <c r="A734" s="5" t="s">
        <v>74</v>
      </c>
    </row>
    <row r="735" spans="1:1" x14ac:dyDescent="0.25">
      <c r="A735" s="5" t="s">
        <v>101</v>
      </c>
    </row>
    <row r="736" spans="1:1" x14ac:dyDescent="0.25">
      <c r="A736" s="5" t="s">
        <v>101</v>
      </c>
    </row>
    <row r="737" spans="1:1" x14ac:dyDescent="0.25">
      <c r="A737" s="5" t="s">
        <v>46</v>
      </c>
    </row>
    <row r="738" spans="1:1" x14ac:dyDescent="0.25">
      <c r="A738" s="5" t="s">
        <v>99</v>
      </c>
    </row>
    <row r="739" spans="1:1" x14ac:dyDescent="0.25">
      <c r="A739" s="5" t="s">
        <v>99</v>
      </c>
    </row>
    <row r="740" spans="1:1" x14ac:dyDescent="0.25">
      <c r="A740" s="5" t="s">
        <v>38</v>
      </c>
    </row>
    <row r="741" spans="1:1" x14ac:dyDescent="0.25">
      <c r="A741" s="5" t="s">
        <v>101</v>
      </c>
    </row>
    <row r="742" spans="1:1" x14ac:dyDescent="0.25">
      <c r="A742" s="5" t="s">
        <v>99</v>
      </c>
    </row>
    <row r="743" spans="1:1" x14ac:dyDescent="0.25">
      <c r="A743" s="5" t="s">
        <v>38</v>
      </c>
    </row>
    <row r="744" spans="1:1" x14ac:dyDescent="0.25">
      <c r="A744" s="5" t="s">
        <v>101</v>
      </c>
    </row>
    <row r="745" spans="1:1" x14ac:dyDescent="0.25">
      <c r="A745" s="5" t="s">
        <v>99</v>
      </c>
    </row>
    <row r="746" spans="1:1" x14ac:dyDescent="0.25">
      <c r="A746" s="5" t="s">
        <v>38</v>
      </c>
    </row>
    <row r="747" spans="1:1" x14ac:dyDescent="0.25">
      <c r="A747" s="5" t="s">
        <v>99</v>
      </c>
    </row>
    <row r="748" spans="1:1" x14ac:dyDescent="0.25">
      <c r="A748" s="5" t="s">
        <v>101</v>
      </c>
    </row>
    <row r="749" spans="1:1" x14ac:dyDescent="0.25">
      <c r="A749" s="5" t="s">
        <v>101</v>
      </c>
    </row>
    <row r="750" spans="1:1" x14ac:dyDescent="0.25">
      <c r="A750" s="5" t="s">
        <v>54</v>
      </c>
    </row>
    <row r="751" spans="1:1" x14ac:dyDescent="0.25">
      <c r="A751" s="5" t="s">
        <v>54</v>
      </c>
    </row>
    <row r="752" spans="1:1" x14ac:dyDescent="0.25">
      <c r="A752" s="5" t="s">
        <v>48</v>
      </c>
    </row>
    <row r="753" spans="1:1" x14ac:dyDescent="0.25">
      <c r="A753" s="5" t="s">
        <v>101</v>
      </c>
    </row>
    <row r="754" spans="1:1" x14ac:dyDescent="0.25">
      <c r="A754" s="5" t="s">
        <v>101</v>
      </c>
    </row>
    <row r="755" spans="1:1" x14ac:dyDescent="0.25">
      <c r="A755" s="5" t="s">
        <v>43</v>
      </c>
    </row>
    <row r="756" spans="1:1" x14ac:dyDescent="0.25">
      <c r="A756" s="5" t="s">
        <v>103</v>
      </c>
    </row>
    <row r="757" spans="1:1" x14ac:dyDescent="0.25">
      <c r="A757" s="5" t="s">
        <v>103</v>
      </c>
    </row>
    <row r="758" spans="1:1" x14ac:dyDescent="0.25">
      <c r="A758" s="5" t="s">
        <v>103</v>
      </c>
    </row>
    <row r="759" spans="1:1" x14ac:dyDescent="0.25">
      <c r="A759" s="5" t="s">
        <v>103</v>
      </c>
    </row>
    <row r="760" spans="1:1" x14ac:dyDescent="0.25">
      <c r="A760" s="5" t="s">
        <v>43</v>
      </c>
    </row>
    <row r="761" spans="1:1" x14ac:dyDescent="0.25">
      <c r="A761" s="5" t="s">
        <v>46</v>
      </c>
    </row>
    <row r="762" spans="1:1" x14ac:dyDescent="0.25">
      <c r="A762" s="5" t="s">
        <v>45</v>
      </c>
    </row>
    <row r="763" spans="1:1" x14ac:dyDescent="0.25">
      <c r="A763" s="5" t="s">
        <v>37</v>
      </c>
    </row>
    <row r="764" spans="1:1" x14ac:dyDescent="0.25">
      <c r="A764" s="5" t="s">
        <v>43</v>
      </c>
    </row>
    <row r="765" spans="1:1" x14ac:dyDescent="0.25">
      <c r="A765" s="5" t="s">
        <v>43</v>
      </c>
    </row>
    <row r="766" spans="1:1" x14ac:dyDescent="0.25">
      <c r="A766" s="5" t="s">
        <v>43</v>
      </c>
    </row>
    <row r="767" spans="1:1" x14ac:dyDescent="0.25">
      <c r="A767" s="5" t="s">
        <v>43</v>
      </c>
    </row>
    <row r="768" spans="1:1" x14ac:dyDescent="0.25">
      <c r="A768" s="5" t="s">
        <v>35</v>
      </c>
    </row>
    <row r="769" spans="1:1" x14ac:dyDescent="0.25">
      <c r="A769" s="5" t="s">
        <v>87</v>
      </c>
    </row>
    <row r="770" spans="1:1" x14ac:dyDescent="0.25">
      <c r="A770" s="5" t="s">
        <v>43</v>
      </c>
    </row>
    <row r="771" spans="1:1" x14ac:dyDescent="0.25">
      <c r="A771" s="5" t="s">
        <v>69</v>
      </c>
    </row>
    <row r="772" spans="1:1" x14ac:dyDescent="0.25">
      <c r="A772" s="5" t="s">
        <v>87</v>
      </c>
    </row>
    <row r="773" spans="1:1" x14ac:dyDescent="0.25">
      <c r="A773" s="5" t="s">
        <v>43</v>
      </c>
    </row>
    <row r="774" spans="1:1" x14ac:dyDescent="0.25">
      <c r="A774" s="5" t="s">
        <v>74</v>
      </c>
    </row>
    <row r="775" spans="1:1" x14ac:dyDescent="0.25">
      <c r="A775" s="5" t="s">
        <v>43</v>
      </c>
    </row>
    <row r="776" spans="1:1" x14ac:dyDescent="0.25">
      <c r="A776" s="5" t="s">
        <v>74</v>
      </c>
    </row>
    <row r="777" spans="1:1" x14ac:dyDescent="0.25">
      <c r="A777" s="5" t="s">
        <v>43</v>
      </c>
    </row>
    <row r="778" spans="1:1" x14ac:dyDescent="0.25">
      <c r="A778" s="5" t="s">
        <v>43</v>
      </c>
    </row>
    <row r="779" spans="1:1" x14ac:dyDescent="0.25">
      <c r="A779" s="5" t="s">
        <v>74</v>
      </c>
    </row>
    <row r="780" spans="1:1" x14ac:dyDescent="0.25">
      <c r="A780" s="5" t="s">
        <v>87</v>
      </c>
    </row>
    <row r="781" spans="1:1" x14ac:dyDescent="0.25">
      <c r="A781" s="5" t="s">
        <v>43</v>
      </c>
    </row>
    <row r="782" spans="1:1" x14ac:dyDescent="0.25">
      <c r="A782" s="5" t="s">
        <v>87</v>
      </c>
    </row>
    <row r="783" spans="1:1" x14ac:dyDescent="0.25">
      <c r="A783" s="5" t="s">
        <v>43</v>
      </c>
    </row>
    <row r="784" spans="1:1" x14ac:dyDescent="0.25">
      <c r="A784" s="5" t="s">
        <v>74</v>
      </c>
    </row>
    <row r="785" spans="1:1" x14ac:dyDescent="0.25">
      <c r="A785" s="5" t="s">
        <v>87</v>
      </c>
    </row>
    <row r="786" spans="1:1" x14ac:dyDescent="0.25">
      <c r="A786" s="5" t="s">
        <v>104</v>
      </c>
    </row>
    <row r="787" spans="1:1" x14ac:dyDescent="0.25">
      <c r="A787" s="5" t="s">
        <v>87</v>
      </c>
    </row>
    <row r="788" spans="1:1" x14ac:dyDescent="0.25">
      <c r="A788" s="5" t="s">
        <v>31</v>
      </c>
    </row>
    <row r="789" spans="1:1" x14ac:dyDescent="0.25">
      <c r="A789" s="5" t="s">
        <v>87</v>
      </c>
    </row>
    <row r="790" spans="1:1" x14ac:dyDescent="0.25">
      <c r="A790" s="5" t="s">
        <v>104</v>
      </c>
    </row>
    <row r="791" spans="1:1" x14ac:dyDescent="0.25">
      <c r="A791" s="5" t="s">
        <v>43</v>
      </c>
    </row>
    <row r="792" spans="1:1" x14ac:dyDescent="0.25">
      <c r="A792" s="5" t="s">
        <v>87</v>
      </c>
    </row>
    <row r="793" spans="1:1" x14ac:dyDescent="0.25">
      <c r="A793" s="5" t="s">
        <v>43</v>
      </c>
    </row>
    <row r="794" spans="1:1" x14ac:dyDescent="0.25">
      <c r="A794" s="5" t="s">
        <v>87</v>
      </c>
    </row>
    <row r="795" spans="1:1" x14ac:dyDescent="0.25">
      <c r="A795" s="5" t="s">
        <v>87</v>
      </c>
    </row>
    <row r="796" spans="1:1" x14ac:dyDescent="0.25">
      <c r="A796" s="5" t="s">
        <v>87</v>
      </c>
    </row>
    <row r="797" spans="1:1" x14ac:dyDescent="0.25">
      <c r="A797" s="5" t="s">
        <v>101</v>
      </c>
    </row>
    <row r="798" spans="1:1" x14ac:dyDescent="0.25">
      <c r="A798" s="5" t="s">
        <v>43</v>
      </c>
    </row>
    <row r="799" spans="1:1" x14ac:dyDescent="0.25">
      <c r="A799" s="5" t="s">
        <v>87</v>
      </c>
    </row>
    <row r="800" spans="1:1" x14ac:dyDescent="0.25">
      <c r="A800" s="5" t="s">
        <v>104</v>
      </c>
    </row>
    <row r="801" spans="1:1" x14ac:dyDescent="0.25">
      <c r="A801" s="5" t="s">
        <v>87</v>
      </c>
    </row>
    <row r="802" spans="1:1" x14ac:dyDescent="0.25">
      <c r="A802" s="5" t="s">
        <v>43</v>
      </c>
    </row>
    <row r="803" spans="1:1" x14ac:dyDescent="0.25">
      <c r="A803" s="5" t="s">
        <v>104</v>
      </c>
    </row>
    <row r="804" spans="1:1" x14ac:dyDescent="0.25">
      <c r="A804" s="5" t="s">
        <v>87</v>
      </c>
    </row>
    <row r="805" spans="1:1" x14ac:dyDescent="0.25">
      <c r="A805" s="5" t="s">
        <v>104</v>
      </c>
    </row>
    <row r="806" spans="1:1" x14ac:dyDescent="0.25">
      <c r="A806" s="5" t="s">
        <v>87</v>
      </c>
    </row>
    <row r="807" spans="1:1" x14ac:dyDescent="0.25">
      <c r="A807" s="5" t="s">
        <v>43</v>
      </c>
    </row>
    <row r="808" spans="1:1" x14ac:dyDescent="0.25">
      <c r="A808" s="5" t="s">
        <v>104</v>
      </c>
    </row>
    <row r="809" spans="1:1" x14ac:dyDescent="0.25">
      <c r="A809" s="5" t="s">
        <v>54</v>
      </c>
    </row>
    <row r="810" spans="1:1" x14ac:dyDescent="0.25">
      <c r="A810" s="5" t="s">
        <v>87</v>
      </c>
    </row>
    <row r="811" spans="1:1" x14ac:dyDescent="0.25">
      <c r="A811" s="5" t="s">
        <v>105</v>
      </c>
    </row>
    <row r="812" spans="1:1" x14ac:dyDescent="0.25">
      <c r="A812" s="5" t="s">
        <v>105</v>
      </c>
    </row>
    <row r="813" spans="1:1" x14ac:dyDescent="0.25">
      <c r="A813" s="5" t="s">
        <v>105</v>
      </c>
    </row>
    <row r="814" spans="1:1" x14ac:dyDescent="0.25">
      <c r="A814" s="5" t="s">
        <v>105</v>
      </c>
    </row>
    <row r="815" spans="1:1" x14ac:dyDescent="0.25">
      <c r="A815" s="5" t="s">
        <v>105</v>
      </c>
    </row>
    <row r="816" spans="1:1" x14ac:dyDescent="0.25">
      <c r="A816" s="5" t="s">
        <v>105</v>
      </c>
    </row>
    <row r="817" spans="1:1" x14ac:dyDescent="0.25">
      <c r="A817" s="5" t="s">
        <v>54</v>
      </c>
    </row>
    <row r="818" spans="1:1" x14ac:dyDescent="0.25">
      <c r="A818" s="5" t="s">
        <v>105</v>
      </c>
    </row>
    <row r="819" spans="1:1" x14ac:dyDescent="0.25">
      <c r="A819" s="5" t="s">
        <v>105</v>
      </c>
    </row>
    <row r="820" spans="1:1" x14ac:dyDescent="0.25">
      <c r="A820" s="5" t="s">
        <v>106</v>
      </c>
    </row>
    <row r="821" spans="1:1" x14ac:dyDescent="0.25">
      <c r="A821" s="5" t="s">
        <v>87</v>
      </c>
    </row>
    <row r="822" spans="1:1" x14ac:dyDescent="0.25">
      <c r="A822" s="5" t="s">
        <v>105</v>
      </c>
    </row>
    <row r="823" spans="1:1" x14ac:dyDescent="0.25">
      <c r="A823" s="5" t="s">
        <v>105</v>
      </c>
    </row>
    <row r="824" spans="1:1" x14ac:dyDescent="0.25">
      <c r="A824" s="5" t="s">
        <v>87</v>
      </c>
    </row>
    <row r="825" spans="1:1" x14ac:dyDescent="0.25">
      <c r="A825" s="5" t="s">
        <v>87</v>
      </c>
    </row>
    <row r="826" spans="1:1" x14ac:dyDescent="0.25">
      <c r="A826" s="5" t="s">
        <v>105</v>
      </c>
    </row>
    <row r="827" spans="1:1" x14ac:dyDescent="0.25">
      <c r="A827" s="5" t="s">
        <v>43</v>
      </c>
    </row>
    <row r="828" spans="1:1" x14ac:dyDescent="0.25">
      <c r="A828" s="5" t="s">
        <v>43</v>
      </c>
    </row>
    <row r="829" spans="1:1" x14ac:dyDescent="0.25">
      <c r="A829" s="5" t="s">
        <v>43</v>
      </c>
    </row>
    <row r="830" spans="1:1" x14ac:dyDescent="0.25">
      <c r="A830" s="5" t="s">
        <v>87</v>
      </c>
    </row>
    <row r="831" spans="1:1" x14ac:dyDescent="0.25">
      <c r="A831" s="5" t="s">
        <v>107</v>
      </c>
    </row>
    <row r="832" spans="1:1" x14ac:dyDescent="0.25">
      <c r="A832" s="5" t="s">
        <v>87</v>
      </c>
    </row>
    <row r="833" spans="1:1" x14ac:dyDescent="0.25">
      <c r="A833" s="5" t="s">
        <v>107</v>
      </c>
    </row>
    <row r="834" spans="1:1" x14ac:dyDescent="0.25">
      <c r="A834" s="5" t="s">
        <v>87</v>
      </c>
    </row>
    <row r="835" spans="1:1" x14ac:dyDescent="0.25">
      <c r="A835" s="5" t="s">
        <v>104</v>
      </c>
    </row>
    <row r="836" spans="1:1" x14ac:dyDescent="0.25">
      <c r="A836" s="5" t="s">
        <v>107</v>
      </c>
    </row>
    <row r="837" spans="1:1" x14ac:dyDescent="0.25">
      <c r="A837" s="5" t="s">
        <v>104</v>
      </c>
    </row>
    <row r="838" spans="1:1" x14ac:dyDescent="0.25">
      <c r="A838" s="5" t="s">
        <v>87</v>
      </c>
    </row>
    <row r="839" spans="1:1" x14ac:dyDescent="0.25">
      <c r="A839" s="5" t="s">
        <v>107</v>
      </c>
    </row>
    <row r="840" spans="1:1" x14ac:dyDescent="0.25">
      <c r="A840" s="5" t="s">
        <v>87</v>
      </c>
    </row>
    <row r="841" spans="1:1" x14ac:dyDescent="0.25">
      <c r="A841" s="5" t="s">
        <v>107</v>
      </c>
    </row>
    <row r="842" spans="1:1" x14ac:dyDescent="0.25">
      <c r="A842" s="5" t="s">
        <v>87</v>
      </c>
    </row>
    <row r="843" spans="1:1" x14ac:dyDescent="0.25">
      <c r="A843" s="5" t="s">
        <v>87</v>
      </c>
    </row>
    <row r="844" spans="1:1" x14ac:dyDescent="0.25">
      <c r="A844" s="5" t="s">
        <v>108</v>
      </c>
    </row>
    <row r="845" spans="1:1" x14ac:dyDescent="0.25">
      <c r="A845" s="5" t="s">
        <v>109</v>
      </c>
    </row>
    <row r="846" spans="1:1" x14ac:dyDescent="0.25">
      <c r="A846" s="5" t="s">
        <v>87</v>
      </c>
    </row>
    <row r="847" spans="1:1" x14ac:dyDescent="0.25">
      <c r="A847" s="5" t="s">
        <v>87</v>
      </c>
    </row>
    <row r="848" spans="1:1" x14ac:dyDescent="0.25">
      <c r="A848" s="5" t="s">
        <v>47</v>
      </c>
    </row>
    <row r="849" spans="1:1" x14ac:dyDescent="0.25">
      <c r="A849" s="5" t="s">
        <v>69</v>
      </c>
    </row>
    <row r="850" spans="1:1" x14ac:dyDescent="0.25">
      <c r="A850" s="5" t="s">
        <v>102</v>
      </c>
    </row>
    <row r="851" spans="1:1" x14ac:dyDescent="0.25">
      <c r="A851" s="5" t="s">
        <v>47</v>
      </c>
    </row>
    <row r="852" spans="1:1" x14ac:dyDescent="0.25">
      <c r="A852" s="5" t="s">
        <v>110</v>
      </c>
    </row>
    <row r="853" spans="1:1" x14ac:dyDescent="0.25">
      <c r="A853" s="5" t="s">
        <v>87</v>
      </c>
    </row>
    <row r="854" spans="1:1" x14ac:dyDescent="0.25">
      <c r="A854" s="5" t="s">
        <v>47</v>
      </c>
    </row>
    <row r="855" spans="1:1" x14ac:dyDescent="0.25">
      <c r="A855" s="5" t="s">
        <v>87</v>
      </c>
    </row>
    <row r="856" spans="1:1" x14ac:dyDescent="0.25">
      <c r="A856" s="5" t="s">
        <v>87</v>
      </c>
    </row>
    <row r="857" spans="1:1" x14ac:dyDescent="0.25">
      <c r="A857" s="5" t="s">
        <v>87</v>
      </c>
    </row>
    <row r="858" spans="1:1" x14ac:dyDescent="0.25">
      <c r="A858" s="5" t="s">
        <v>111</v>
      </c>
    </row>
    <row r="859" spans="1:1" x14ac:dyDescent="0.25">
      <c r="A859" s="5" t="s">
        <v>103</v>
      </c>
    </row>
    <row r="860" spans="1:1" x14ac:dyDescent="0.25">
      <c r="A860" s="5" t="s">
        <v>112</v>
      </c>
    </row>
    <row r="861" spans="1:1" x14ac:dyDescent="0.25">
      <c r="A861" s="5" t="s">
        <v>45</v>
      </c>
    </row>
    <row r="862" spans="1:1" x14ac:dyDescent="0.25">
      <c r="A862" s="5" t="s">
        <v>87</v>
      </c>
    </row>
    <row r="863" spans="1:1" x14ac:dyDescent="0.25">
      <c r="A863" s="5" t="s">
        <v>43</v>
      </c>
    </row>
    <row r="864" spans="1:1" x14ac:dyDescent="0.25">
      <c r="A864" s="5" t="s">
        <v>87</v>
      </c>
    </row>
    <row r="865" spans="1:1" x14ac:dyDescent="0.25">
      <c r="A865" s="5" t="s">
        <v>31</v>
      </c>
    </row>
    <row r="866" spans="1:1" x14ac:dyDescent="0.25">
      <c r="A866" s="5" t="s">
        <v>47</v>
      </c>
    </row>
    <row r="867" spans="1:1" x14ac:dyDescent="0.25">
      <c r="A867" s="5" t="s">
        <v>43</v>
      </c>
    </row>
    <row r="868" spans="1:1" x14ac:dyDescent="0.25">
      <c r="A868" s="5" t="s">
        <v>87</v>
      </c>
    </row>
    <row r="869" spans="1:1" x14ac:dyDescent="0.25">
      <c r="A869" s="5" t="s">
        <v>47</v>
      </c>
    </row>
    <row r="870" spans="1:1" x14ac:dyDescent="0.25">
      <c r="A870" s="5" t="s">
        <v>87</v>
      </c>
    </row>
    <row r="871" spans="1:1" x14ac:dyDescent="0.25">
      <c r="A871" s="5" t="s">
        <v>47</v>
      </c>
    </row>
    <row r="872" spans="1:1" x14ac:dyDescent="0.25">
      <c r="A872" s="5" t="s">
        <v>87</v>
      </c>
    </row>
    <row r="873" spans="1:1" x14ac:dyDescent="0.25">
      <c r="A873" s="5" t="s">
        <v>47</v>
      </c>
    </row>
    <row r="874" spans="1:1" x14ac:dyDescent="0.25">
      <c r="A874" s="5" t="s">
        <v>43</v>
      </c>
    </row>
    <row r="875" spans="1:1" x14ac:dyDescent="0.25">
      <c r="A875" s="5" t="s">
        <v>64</v>
      </c>
    </row>
    <row r="876" spans="1:1" x14ac:dyDescent="0.25">
      <c r="A876" s="5" t="s">
        <v>87</v>
      </c>
    </row>
    <row r="877" spans="1:1" x14ac:dyDescent="0.25">
      <c r="A877" s="5" t="s">
        <v>43</v>
      </c>
    </row>
    <row r="878" spans="1:1" x14ac:dyDescent="0.25">
      <c r="A878" s="5" t="s">
        <v>87</v>
      </c>
    </row>
    <row r="879" spans="1:1" x14ac:dyDescent="0.25">
      <c r="A879" s="5" t="s">
        <v>43</v>
      </c>
    </row>
    <row r="880" spans="1:1" x14ac:dyDescent="0.25">
      <c r="A880" s="5" t="s">
        <v>87</v>
      </c>
    </row>
    <row r="881" spans="1:1" x14ac:dyDescent="0.25">
      <c r="A881" s="5" t="s">
        <v>35</v>
      </c>
    </row>
    <row r="882" spans="1:1" x14ac:dyDescent="0.25">
      <c r="A882" s="5" t="s">
        <v>43</v>
      </c>
    </row>
    <row r="883" spans="1:1" x14ac:dyDescent="0.25">
      <c r="A883" s="5" t="s">
        <v>87</v>
      </c>
    </row>
    <row r="884" spans="1:1" x14ac:dyDescent="0.25">
      <c r="A884" s="5" t="s">
        <v>48</v>
      </c>
    </row>
    <row r="885" spans="1:1" x14ac:dyDescent="0.25">
      <c r="A885" s="5" t="s">
        <v>43</v>
      </c>
    </row>
    <row r="886" spans="1:1" x14ac:dyDescent="0.25">
      <c r="A886" s="5" t="s">
        <v>87</v>
      </c>
    </row>
    <row r="887" spans="1:1" x14ac:dyDescent="0.25">
      <c r="A887" s="5" t="s">
        <v>47</v>
      </c>
    </row>
    <row r="888" spans="1:1" x14ac:dyDescent="0.25">
      <c r="A888" s="5" t="s">
        <v>43</v>
      </c>
    </row>
    <row r="889" spans="1:1" x14ac:dyDescent="0.25">
      <c r="A889" s="5" t="s">
        <v>43</v>
      </c>
    </row>
    <row r="890" spans="1:1" x14ac:dyDescent="0.25">
      <c r="A890" s="5" t="s">
        <v>87</v>
      </c>
    </row>
    <row r="891" spans="1:1" x14ac:dyDescent="0.25">
      <c r="A891" s="5" t="s">
        <v>87</v>
      </c>
    </row>
    <row r="892" spans="1:1" x14ac:dyDescent="0.25">
      <c r="A892" s="5" t="s">
        <v>87</v>
      </c>
    </row>
    <row r="893" spans="1:1" x14ac:dyDescent="0.25">
      <c r="A893" s="5" t="s">
        <v>43</v>
      </c>
    </row>
    <row r="894" spans="1:1" x14ac:dyDescent="0.25">
      <c r="A894" s="5" t="s">
        <v>87</v>
      </c>
    </row>
    <row r="895" spans="1:1" x14ac:dyDescent="0.25">
      <c r="A895" s="5" t="s">
        <v>47</v>
      </c>
    </row>
    <row r="896" spans="1:1" x14ac:dyDescent="0.25">
      <c r="A896" s="5" t="s">
        <v>43</v>
      </c>
    </row>
    <row r="897" spans="1:1" x14ac:dyDescent="0.25">
      <c r="A897" s="5" t="s">
        <v>87</v>
      </c>
    </row>
    <row r="898" spans="1:1" x14ac:dyDescent="0.25">
      <c r="A898" s="5" t="s">
        <v>47</v>
      </c>
    </row>
    <row r="899" spans="1:1" x14ac:dyDescent="0.25">
      <c r="A899" s="5" t="s">
        <v>87</v>
      </c>
    </row>
    <row r="900" spans="1:1" x14ac:dyDescent="0.25">
      <c r="A900" s="5" t="s">
        <v>43</v>
      </c>
    </row>
    <row r="901" spans="1:1" x14ac:dyDescent="0.25">
      <c r="A901" s="5" t="s">
        <v>87</v>
      </c>
    </row>
    <row r="902" spans="1:1" x14ac:dyDescent="0.25">
      <c r="A902" s="5" t="s">
        <v>54</v>
      </c>
    </row>
    <row r="903" spans="1:1" x14ac:dyDescent="0.25">
      <c r="A903" s="5" t="s">
        <v>47</v>
      </c>
    </row>
    <row r="904" spans="1:1" x14ac:dyDescent="0.25">
      <c r="A904" s="5" t="s">
        <v>104</v>
      </c>
    </row>
    <row r="905" spans="1:1" x14ac:dyDescent="0.25">
      <c r="A905" s="5" t="s">
        <v>47</v>
      </c>
    </row>
    <row r="906" spans="1:1" x14ac:dyDescent="0.25">
      <c r="A906" s="5" t="s">
        <v>47</v>
      </c>
    </row>
    <row r="907" spans="1:1" x14ac:dyDescent="0.25">
      <c r="A907" s="5" t="s">
        <v>47</v>
      </c>
    </row>
    <row r="908" spans="1:1" x14ac:dyDescent="0.25">
      <c r="A908" s="5" t="s">
        <v>47</v>
      </c>
    </row>
    <row r="909" spans="1:1" x14ac:dyDescent="0.25">
      <c r="A909" s="5" t="s">
        <v>61</v>
      </c>
    </row>
    <row r="910" spans="1:1" x14ac:dyDescent="0.25">
      <c r="A910" s="5" t="s">
        <v>61</v>
      </c>
    </row>
    <row r="911" spans="1:1" x14ac:dyDescent="0.25">
      <c r="A911" s="5" t="s">
        <v>47</v>
      </c>
    </row>
    <row r="912" spans="1:1" x14ac:dyDescent="0.25">
      <c r="A912" s="5" t="s">
        <v>112</v>
      </c>
    </row>
    <row r="913" spans="1:1" x14ac:dyDescent="0.25">
      <c r="A913" s="5" t="s">
        <v>87</v>
      </c>
    </row>
    <row r="914" spans="1:1" x14ac:dyDescent="0.25">
      <c r="A914" s="5" t="s">
        <v>43</v>
      </c>
    </row>
    <row r="915" spans="1:1" x14ac:dyDescent="0.25">
      <c r="A915" s="5" t="s">
        <v>93</v>
      </c>
    </row>
    <row r="916" spans="1:1" x14ac:dyDescent="0.25">
      <c r="A916" s="5" t="s">
        <v>94</v>
      </c>
    </row>
    <row r="917" spans="1:1" x14ac:dyDescent="0.25">
      <c r="A917" s="5" t="s">
        <v>46</v>
      </c>
    </row>
    <row r="918" spans="1:1" x14ac:dyDescent="0.25">
      <c r="A918" s="5" t="s">
        <v>110</v>
      </c>
    </row>
    <row r="919" spans="1:1" x14ac:dyDescent="0.25">
      <c r="A919" s="5" t="s">
        <v>64</v>
      </c>
    </row>
    <row r="920" spans="1:1" x14ac:dyDescent="0.25">
      <c r="A920" s="5" t="s">
        <v>101</v>
      </c>
    </row>
    <row r="921" spans="1:1" x14ac:dyDescent="0.25">
      <c r="A921" s="5" t="s">
        <v>110</v>
      </c>
    </row>
    <row r="922" spans="1:1" x14ac:dyDescent="0.25">
      <c r="A922" s="5" t="s">
        <v>101</v>
      </c>
    </row>
    <row r="923" spans="1:1" x14ac:dyDescent="0.25">
      <c r="A923" s="5" t="s">
        <v>73</v>
      </c>
    </row>
    <row r="924" spans="1:1" x14ac:dyDescent="0.25">
      <c r="A924" s="5" t="s">
        <v>101</v>
      </c>
    </row>
    <row r="925" spans="1:1" x14ac:dyDescent="0.25">
      <c r="A925" s="5" t="s">
        <v>35</v>
      </c>
    </row>
    <row r="926" spans="1:1" x14ac:dyDescent="0.25">
      <c r="A926" s="5" t="s">
        <v>45</v>
      </c>
    </row>
    <row r="927" spans="1:1" x14ac:dyDescent="0.25">
      <c r="A927" s="5" t="s">
        <v>110</v>
      </c>
    </row>
    <row r="928" spans="1:1" x14ac:dyDescent="0.25">
      <c r="A928" s="5" t="s">
        <v>70</v>
      </c>
    </row>
    <row r="929" spans="1:1" x14ac:dyDescent="0.25">
      <c r="A929" s="5" t="s">
        <v>113</v>
      </c>
    </row>
    <row r="930" spans="1:1" x14ac:dyDescent="0.25">
      <c r="A930" s="5" t="s">
        <v>110</v>
      </c>
    </row>
    <row r="931" spans="1:1" x14ac:dyDescent="0.25">
      <c r="A931" s="5" t="s">
        <v>76</v>
      </c>
    </row>
    <row r="932" spans="1:1" x14ac:dyDescent="0.25">
      <c r="A932" s="5" t="s">
        <v>31</v>
      </c>
    </row>
    <row r="933" spans="1:1" x14ac:dyDescent="0.25">
      <c r="A933" s="5" t="s">
        <v>110</v>
      </c>
    </row>
    <row r="934" spans="1:1" x14ac:dyDescent="0.25">
      <c r="A934" s="5" t="s">
        <v>110</v>
      </c>
    </row>
    <row r="935" spans="1:1" x14ac:dyDescent="0.25">
      <c r="A935" s="5" t="s">
        <v>104</v>
      </c>
    </row>
    <row r="936" spans="1:1" x14ac:dyDescent="0.25">
      <c r="A936" s="5" t="s">
        <v>104</v>
      </c>
    </row>
    <row r="937" spans="1:1" x14ac:dyDescent="0.25">
      <c r="A937" s="5" t="s">
        <v>104</v>
      </c>
    </row>
    <row r="938" spans="1:1" x14ac:dyDescent="0.25">
      <c r="A938" s="5" t="s">
        <v>104</v>
      </c>
    </row>
    <row r="939" spans="1:1" x14ac:dyDescent="0.25">
      <c r="A939" s="5" t="s">
        <v>104</v>
      </c>
    </row>
    <row r="940" spans="1:1" x14ac:dyDescent="0.25">
      <c r="A940" s="5" t="s">
        <v>104</v>
      </c>
    </row>
    <row r="941" spans="1:1" x14ac:dyDescent="0.25">
      <c r="A941" s="5" t="s">
        <v>104</v>
      </c>
    </row>
    <row r="942" spans="1:1" x14ac:dyDescent="0.25">
      <c r="A942" s="5" t="s">
        <v>104</v>
      </c>
    </row>
    <row r="943" spans="1:1" x14ac:dyDescent="0.25">
      <c r="A943" s="5" t="s">
        <v>104</v>
      </c>
    </row>
    <row r="944" spans="1:1" x14ac:dyDescent="0.25">
      <c r="A944" s="5" t="s">
        <v>104</v>
      </c>
    </row>
    <row r="945" spans="1:1" x14ac:dyDescent="0.25">
      <c r="A945" s="5" t="s">
        <v>104</v>
      </c>
    </row>
    <row r="946" spans="1:1" x14ac:dyDescent="0.25">
      <c r="A946" s="5" t="s">
        <v>103</v>
      </c>
    </row>
    <row r="947" spans="1:1" x14ac:dyDescent="0.25">
      <c r="A947" s="5" t="s">
        <v>103</v>
      </c>
    </row>
    <row r="948" spans="1:1" x14ac:dyDescent="0.25">
      <c r="A948" s="5" t="s">
        <v>103</v>
      </c>
    </row>
    <row r="949" spans="1:1" x14ac:dyDescent="0.25">
      <c r="A949" s="5" t="s">
        <v>70</v>
      </c>
    </row>
    <row r="950" spans="1:1" x14ac:dyDescent="0.25">
      <c r="A950" s="5" t="s">
        <v>43</v>
      </c>
    </row>
    <row r="951" spans="1:1" x14ac:dyDescent="0.25">
      <c r="A951" s="5" t="s">
        <v>76</v>
      </c>
    </row>
    <row r="952" spans="1:1" x14ac:dyDescent="0.25">
      <c r="A952" s="5" t="s">
        <v>43</v>
      </c>
    </row>
    <row r="953" spans="1:1" x14ac:dyDescent="0.25">
      <c r="A953" s="5" t="s">
        <v>43</v>
      </c>
    </row>
    <row r="954" spans="1:1" x14ac:dyDescent="0.25">
      <c r="A954" s="5" t="s">
        <v>112</v>
      </c>
    </row>
    <row r="955" spans="1:1" x14ac:dyDescent="0.25">
      <c r="A955" s="5" t="s">
        <v>31</v>
      </c>
    </row>
    <row r="956" spans="1:1" x14ac:dyDescent="0.25">
      <c r="A956" s="5" t="s">
        <v>43</v>
      </c>
    </row>
    <row r="957" spans="1:1" x14ac:dyDescent="0.25">
      <c r="A957" s="5" t="s">
        <v>43</v>
      </c>
    </row>
    <row r="958" spans="1:1" x14ac:dyDescent="0.25">
      <c r="A958" s="5" t="s">
        <v>43</v>
      </c>
    </row>
    <row r="959" spans="1:1" x14ac:dyDescent="0.25">
      <c r="A959" s="5" t="s">
        <v>43</v>
      </c>
    </row>
    <row r="960" spans="1:1" x14ac:dyDescent="0.25">
      <c r="A960" s="5" t="s">
        <v>104</v>
      </c>
    </row>
    <row r="961" spans="1:1" x14ac:dyDescent="0.25">
      <c r="A961" s="5" t="s">
        <v>43</v>
      </c>
    </row>
    <row r="962" spans="1:1" x14ac:dyDescent="0.25">
      <c r="A962" s="5" t="s">
        <v>104</v>
      </c>
    </row>
    <row r="963" spans="1:1" x14ac:dyDescent="0.25">
      <c r="A963" s="5" t="s">
        <v>46</v>
      </c>
    </row>
    <row r="964" spans="1:1" x14ac:dyDescent="0.25">
      <c r="A964" s="5" t="s">
        <v>48</v>
      </c>
    </row>
    <row r="965" spans="1:1" x14ac:dyDescent="0.25">
      <c r="A965" s="5" t="s">
        <v>45</v>
      </c>
    </row>
    <row r="966" spans="1:1" x14ac:dyDescent="0.25">
      <c r="A966" s="5" t="s">
        <v>70</v>
      </c>
    </row>
    <row r="967" spans="1:1" x14ac:dyDescent="0.25">
      <c r="A967" s="5" t="s">
        <v>69</v>
      </c>
    </row>
    <row r="968" spans="1:1" x14ac:dyDescent="0.25">
      <c r="A968" s="5" t="s">
        <v>40</v>
      </c>
    </row>
    <row r="969" spans="1:1" x14ac:dyDescent="0.25">
      <c r="A969" s="5" t="s">
        <v>28</v>
      </c>
    </row>
    <row r="970" spans="1:1" x14ac:dyDescent="0.25">
      <c r="A970" s="5" t="s">
        <v>104</v>
      </c>
    </row>
    <row r="971" spans="1:1" x14ac:dyDescent="0.25">
      <c r="A971" s="5" t="s">
        <v>112</v>
      </c>
    </row>
    <row r="972" spans="1:1" x14ac:dyDescent="0.25">
      <c r="A972" s="5" t="s">
        <v>46</v>
      </c>
    </row>
    <row r="973" spans="1:1" x14ac:dyDescent="0.25">
      <c r="A973" s="5" t="s">
        <v>114</v>
      </c>
    </row>
    <row r="974" spans="1:1" x14ac:dyDescent="0.25">
      <c r="A974" s="5" t="s">
        <v>69</v>
      </c>
    </row>
    <row r="975" spans="1:1" x14ac:dyDescent="0.25">
      <c r="A975" s="5" t="s">
        <v>107</v>
      </c>
    </row>
    <row r="976" spans="1:1" x14ac:dyDescent="0.25">
      <c r="A976" s="5" t="s">
        <v>104</v>
      </c>
    </row>
    <row r="977" spans="1:1" x14ac:dyDescent="0.25">
      <c r="A977" s="5" t="s">
        <v>28</v>
      </c>
    </row>
    <row r="978" spans="1:1" x14ac:dyDescent="0.25">
      <c r="A978" s="5" t="s">
        <v>28</v>
      </c>
    </row>
    <row r="979" spans="1:1" x14ac:dyDescent="0.25">
      <c r="A979" s="5" t="s">
        <v>28</v>
      </c>
    </row>
    <row r="980" spans="1:1" x14ac:dyDescent="0.25">
      <c r="A980" s="5" t="s">
        <v>28</v>
      </c>
    </row>
    <row r="981" spans="1:1" x14ac:dyDescent="0.25">
      <c r="A981" s="5" t="s">
        <v>28</v>
      </c>
    </row>
    <row r="982" spans="1:1" x14ac:dyDescent="0.25">
      <c r="A982" s="5" t="s">
        <v>115</v>
      </c>
    </row>
    <row r="983" spans="1:1" x14ac:dyDescent="0.25">
      <c r="A983" s="5" t="s">
        <v>45</v>
      </c>
    </row>
    <row r="984" spans="1:1" x14ac:dyDescent="0.25">
      <c r="A984" s="5" t="s">
        <v>49</v>
      </c>
    </row>
    <row r="985" spans="1:1" x14ac:dyDescent="0.25">
      <c r="A985" s="5" t="s">
        <v>35</v>
      </c>
    </row>
    <row r="986" spans="1:1" x14ac:dyDescent="0.25">
      <c r="A986" s="5" t="s">
        <v>115</v>
      </c>
    </row>
    <row r="987" spans="1:1" x14ac:dyDescent="0.25">
      <c r="A987" s="5" t="s">
        <v>116</v>
      </c>
    </row>
    <row r="988" spans="1:1" x14ac:dyDescent="0.25">
      <c r="A988" s="5" t="s">
        <v>76</v>
      </c>
    </row>
    <row r="989" spans="1:1" x14ac:dyDescent="0.25">
      <c r="A989" s="5" t="s">
        <v>114</v>
      </c>
    </row>
    <row r="990" spans="1:1" x14ac:dyDescent="0.25">
      <c r="A990" s="5" t="s">
        <v>64</v>
      </c>
    </row>
    <row r="991" spans="1:1" x14ac:dyDescent="0.25">
      <c r="A991" s="5" t="s">
        <v>64</v>
      </c>
    </row>
    <row r="992" spans="1:1" x14ac:dyDescent="0.25">
      <c r="A992" s="5" t="s">
        <v>37</v>
      </c>
    </row>
    <row r="993" spans="1:1" x14ac:dyDescent="0.25">
      <c r="A993" s="5" t="s">
        <v>104</v>
      </c>
    </row>
    <row r="994" spans="1:1" x14ac:dyDescent="0.25">
      <c r="A994" s="5" t="s">
        <v>28</v>
      </c>
    </row>
    <row r="995" spans="1:1" x14ac:dyDescent="0.25">
      <c r="A995" s="5" t="s">
        <v>28</v>
      </c>
    </row>
    <row r="996" spans="1:1" x14ac:dyDescent="0.25">
      <c r="A996" s="5" t="s">
        <v>28</v>
      </c>
    </row>
    <row r="997" spans="1:1" x14ac:dyDescent="0.25">
      <c r="A997" s="5" t="s">
        <v>28</v>
      </c>
    </row>
    <row r="998" spans="1:1" x14ac:dyDescent="0.25">
      <c r="A998" s="5" t="s">
        <v>107</v>
      </c>
    </row>
    <row r="999" spans="1:1" x14ac:dyDescent="0.25">
      <c r="A999" s="5" t="s">
        <v>107</v>
      </c>
    </row>
    <row r="1000" spans="1:1" x14ac:dyDescent="0.25">
      <c r="A1000" s="5" t="s">
        <v>35</v>
      </c>
    </row>
    <row r="1001" spans="1:1" x14ac:dyDescent="0.25">
      <c r="A1001" s="5" t="s">
        <v>48</v>
      </c>
    </row>
    <row r="1002" spans="1:1" x14ac:dyDescent="0.25">
      <c r="A1002" s="5" t="s">
        <v>48</v>
      </c>
    </row>
    <row r="1003" spans="1:1" x14ac:dyDescent="0.25">
      <c r="A1003" s="5" t="s">
        <v>46</v>
      </c>
    </row>
    <row r="1004" spans="1:1" x14ac:dyDescent="0.25">
      <c r="A1004" s="5" t="s">
        <v>107</v>
      </c>
    </row>
    <row r="1005" spans="1:1" x14ac:dyDescent="0.25">
      <c r="A1005" s="5" t="s">
        <v>114</v>
      </c>
    </row>
    <row r="1006" spans="1:1" x14ac:dyDescent="0.25">
      <c r="A1006" s="5" t="s">
        <v>76</v>
      </c>
    </row>
    <row r="1007" spans="1:1" x14ac:dyDescent="0.25">
      <c r="A1007" s="5" t="s">
        <v>64</v>
      </c>
    </row>
    <row r="1008" spans="1:1" x14ac:dyDescent="0.25">
      <c r="A1008" s="5" t="s">
        <v>64</v>
      </c>
    </row>
    <row r="1009" spans="1:1" x14ac:dyDescent="0.25">
      <c r="A1009" s="5" t="s">
        <v>64</v>
      </c>
    </row>
    <row r="1010" spans="1:1" x14ac:dyDescent="0.25">
      <c r="A1010" s="5" t="s">
        <v>39</v>
      </c>
    </row>
    <row r="1011" spans="1:1" x14ac:dyDescent="0.25">
      <c r="A1011" s="5" t="s">
        <v>104</v>
      </c>
    </row>
    <row r="1012" spans="1:1" x14ac:dyDescent="0.25">
      <c r="A1012" s="5" t="s">
        <v>117</v>
      </c>
    </row>
    <row r="1013" spans="1:1" x14ac:dyDescent="0.25">
      <c r="A1013" s="5" t="s">
        <v>117</v>
      </c>
    </row>
    <row r="1014" spans="1:1" x14ac:dyDescent="0.25">
      <c r="A1014" s="5" t="s">
        <v>117</v>
      </c>
    </row>
    <row r="1015" spans="1:1" x14ac:dyDescent="0.25">
      <c r="A1015" s="5" t="s">
        <v>117</v>
      </c>
    </row>
    <row r="1016" spans="1:1" x14ac:dyDescent="0.25">
      <c r="A1016" s="5" t="s">
        <v>117</v>
      </c>
    </row>
    <row r="1017" spans="1:1" x14ac:dyDescent="0.25">
      <c r="A1017" s="5" t="s">
        <v>117</v>
      </c>
    </row>
    <row r="1018" spans="1:1" x14ac:dyDescent="0.25">
      <c r="A1018" s="5" t="s">
        <v>117</v>
      </c>
    </row>
    <row r="1019" spans="1:1" x14ac:dyDescent="0.25">
      <c r="A1019" s="5" t="s">
        <v>117</v>
      </c>
    </row>
    <row r="1020" spans="1:1" x14ac:dyDescent="0.25">
      <c r="A1020" s="5" t="s">
        <v>117</v>
      </c>
    </row>
    <row r="1021" spans="1:1" x14ac:dyDescent="0.25">
      <c r="A1021" s="5" t="s">
        <v>104</v>
      </c>
    </row>
    <row r="1022" spans="1:1" x14ac:dyDescent="0.25">
      <c r="A1022" s="5" t="s">
        <v>104</v>
      </c>
    </row>
    <row r="1023" spans="1:1" x14ac:dyDescent="0.25">
      <c r="A1023" s="5" t="s">
        <v>117</v>
      </c>
    </row>
    <row r="1024" spans="1:1" x14ac:dyDescent="0.25">
      <c r="A1024" s="5" t="s">
        <v>117</v>
      </c>
    </row>
    <row r="1025" spans="1:1" x14ac:dyDescent="0.25">
      <c r="A1025" s="5" t="s">
        <v>74</v>
      </c>
    </row>
    <row r="1026" spans="1:1" x14ac:dyDescent="0.25">
      <c r="A1026" s="5" t="s">
        <v>74</v>
      </c>
    </row>
    <row r="1027" spans="1:1" x14ac:dyDescent="0.25">
      <c r="A1027" s="5" t="s">
        <v>74</v>
      </c>
    </row>
    <row r="1028" spans="1:1" x14ac:dyDescent="0.25">
      <c r="A1028" s="5" t="s">
        <v>74</v>
      </c>
    </row>
    <row r="1029" spans="1:1" x14ac:dyDescent="0.25">
      <c r="A1029" s="5" t="s">
        <v>74</v>
      </c>
    </row>
    <row r="1030" spans="1:1" x14ac:dyDescent="0.25">
      <c r="A1030" s="5" t="s">
        <v>74</v>
      </c>
    </row>
    <row r="1031" spans="1:1" x14ac:dyDescent="0.25">
      <c r="A1031" s="5" t="s">
        <v>118</v>
      </c>
    </row>
    <row r="1032" spans="1:1" x14ac:dyDescent="0.25">
      <c r="A1032" s="5" t="s">
        <v>45</v>
      </c>
    </row>
    <row r="1033" spans="1:1" x14ac:dyDescent="0.25">
      <c r="A1033" s="5" t="s">
        <v>113</v>
      </c>
    </row>
    <row r="1034" spans="1:1" x14ac:dyDescent="0.25">
      <c r="A1034" s="5" t="s">
        <v>54</v>
      </c>
    </row>
    <row r="1035" spans="1:1" x14ac:dyDescent="0.25">
      <c r="A1035" s="5" t="s">
        <v>119</v>
      </c>
    </row>
    <row r="1036" spans="1:1" x14ac:dyDescent="0.25">
      <c r="A1036" s="5" t="s">
        <v>54</v>
      </c>
    </row>
    <row r="1037" spans="1:1" x14ac:dyDescent="0.25">
      <c r="A1037" s="5" t="s">
        <v>76</v>
      </c>
    </row>
    <row r="1038" spans="1:1" x14ac:dyDescent="0.25">
      <c r="A1038" s="5" t="s">
        <v>28</v>
      </c>
    </row>
    <row r="1039" spans="1:1" x14ac:dyDescent="0.25">
      <c r="A1039" s="5" t="s">
        <v>28</v>
      </c>
    </row>
    <row r="1040" spans="1:1" x14ac:dyDescent="0.25">
      <c r="A1040" s="5" t="s">
        <v>28</v>
      </c>
    </row>
    <row r="1041" spans="1:1" x14ac:dyDescent="0.25">
      <c r="A1041" s="5" t="s">
        <v>28</v>
      </c>
    </row>
    <row r="1042" spans="1:1" x14ac:dyDescent="0.25">
      <c r="A1042" s="5" t="s">
        <v>31</v>
      </c>
    </row>
    <row r="1043" spans="1:1" x14ac:dyDescent="0.25">
      <c r="A1043" s="5" t="s">
        <v>113</v>
      </c>
    </row>
    <row r="1044" spans="1:1" x14ac:dyDescent="0.25">
      <c r="A1044" s="5" t="s">
        <v>104</v>
      </c>
    </row>
    <row r="1045" spans="1:1" x14ac:dyDescent="0.25">
      <c r="A1045" s="5" t="s">
        <v>64</v>
      </c>
    </row>
    <row r="1046" spans="1:1" x14ac:dyDescent="0.25">
      <c r="A1046" s="5" t="s">
        <v>35</v>
      </c>
    </row>
    <row r="1047" spans="1:1" x14ac:dyDescent="0.25">
      <c r="A1047" s="5" t="s">
        <v>94</v>
      </c>
    </row>
    <row r="1048" spans="1:1" x14ac:dyDescent="0.25">
      <c r="A1048" s="5" t="s">
        <v>107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6"/>
  <sheetViews>
    <sheetView workbookViewId="0">
      <selection activeCell="A13" sqref="A13"/>
    </sheetView>
  </sheetViews>
  <sheetFormatPr baseColWidth="10" defaultRowHeight="15" x14ac:dyDescent="0.25"/>
  <cols>
    <col min="1" max="1" width="20.5703125" bestFit="1" customWidth="1"/>
    <col min="2" max="2" width="12.28515625" bestFit="1" customWidth="1"/>
  </cols>
  <sheetData>
    <row r="1" spans="1:2" x14ac:dyDescent="0.25">
      <c r="A1" s="1" t="s">
        <v>1</v>
      </c>
    </row>
    <row r="3" spans="1:2" x14ac:dyDescent="0.25">
      <c r="A3" s="4" t="s">
        <v>0</v>
      </c>
      <c r="B3" s="4" t="s">
        <v>2</v>
      </c>
    </row>
    <row r="4" spans="1:2" x14ac:dyDescent="0.25">
      <c r="A4" s="2" t="s">
        <v>12</v>
      </c>
      <c r="B4" s="15">
        <v>0.98966423706536</v>
      </c>
    </row>
    <row r="5" spans="1:2" x14ac:dyDescent="0.25">
      <c r="A5" s="2" t="s">
        <v>11</v>
      </c>
      <c r="B5" s="3">
        <v>8.9616441629824294E-5</v>
      </c>
    </row>
    <row r="6" spans="1:2" x14ac:dyDescent="0.25">
      <c r="A6" s="2" t="s">
        <v>3</v>
      </c>
      <c r="B6" s="15">
        <v>1.02461464930099E-2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workbookViewId="0">
      <selection activeCell="D9" sqref="D9"/>
    </sheetView>
  </sheetViews>
  <sheetFormatPr baseColWidth="10" defaultRowHeight="15" x14ac:dyDescent="0.25"/>
  <cols>
    <col min="1" max="1" width="20.5703125" bestFit="1" customWidth="1"/>
    <col min="2" max="2" width="12.28515625" bestFit="1" customWidth="1"/>
  </cols>
  <sheetData>
    <row r="1" spans="1:2" x14ac:dyDescent="0.25">
      <c r="A1" s="1" t="s">
        <v>4</v>
      </c>
    </row>
    <row r="3" spans="1:2" x14ac:dyDescent="0.25">
      <c r="A3" s="4" t="s">
        <v>0</v>
      </c>
      <c r="B3" s="4" t="s">
        <v>2</v>
      </c>
    </row>
    <row r="4" spans="1:2" x14ac:dyDescent="0.25">
      <c r="A4" s="2"/>
      <c r="B4" s="3"/>
    </row>
    <row r="5" spans="1:2" x14ac:dyDescent="0.25">
      <c r="A5" s="2"/>
      <c r="B5" s="3"/>
    </row>
    <row r="6" spans="1:2" x14ac:dyDescent="0.25">
      <c r="A6" s="2"/>
      <c r="B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W78"/>
  <sheetViews>
    <sheetView topLeftCell="A24" workbookViewId="0">
      <selection activeCell="A6" sqref="A6:B43"/>
    </sheetView>
  </sheetViews>
  <sheetFormatPr baseColWidth="10" defaultRowHeight="15" x14ac:dyDescent="0.25"/>
  <cols>
    <col min="7" max="7" width="14.7109375" bestFit="1" customWidth="1"/>
  </cols>
  <sheetData>
    <row r="1" spans="1:101" x14ac:dyDescent="0.25">
      <c r="A1" s="7" t="s">
        <v>250</v>
      </c>
      <c r="B1">
        <v>3</v>
      </c>
      <c r="C1" t="s">
        <v>143</v>
      </c>
      <c r="D1">
        <v>19</v>
      </c>
      <c r="E1" t="s">
        <v>145</v>
      </c>
      <c r="F1">
        <v>3</v>
      </c>
      <c r="G1" t="s">
        <v>129</v>
      </c>
      <c r="H1">
        <v>5</v>
      </c>
      <c r="I1" t="s">
        <v>137</v>
      </c>
      <c r="J1">
        <v>3</v>
      </c>
      <c r="K1" t="s">
        <v>138</v>
      </c>
      <c r="L1">
        <v>2</v>
      </c>
      <c r="M1" t="s">
        <v>251</v>
      </c>
      <c r="N1">
        <v>1</v>
      </c>
      <c r="O1" t="s">
        <v>140</v>
      </c>
      <c r="P1">
        <v>4</v>
      </c>
      <c r="Q1" t="s">
        <v>141</v>
      </c>
      <c r="R1">
        <v>1</v>
      </c>
      <c r="S1" t="s">
        <v>142</v>
      </c>
      <c r="T1">
        <v>3</v>
      </c>
      <c r="U1" t="s">
        <v>164</v>
      </c>
      <c r="V1">
        <v>9</v>
      </c>
      <c r="W1" t="s">
        <v>144</v>
      </c>
      <c r="X1">
        <v>2</v>
      </c>
      <c r="Y1" t="s">
        <v>136</v>
      </c>
      <c r="Z1">
        <v>5</v>
      </c>
      <c r="AA1" t="s">
        <v>146</v>
      </c>
      <c r="AB1">
        <v>12</v>
      </c>
      <c r="AC1" t="s">
        <v>147</v>
      </c>
      <c r="AD1">
        <v>3</v>
      </c>
      <c r="AE1" t="s">
        <v>148</v>
      </c>
      <c r="AF1">
        <v>1</v>
      </c>
      <c r="AG1" t="s">
        <v>149</v>
      </c>
      <c r="AH1">
        <v>2</v>
      </c>
      <c r="AI1" t="s">
        <v>150</v>
      </c>
      <c r="AJ1">
        <v>2</v>
      </c>
      <c r="AK1" t="s">
        <v>151</v>
      </c>
      <c r="AL1">
        <v>1</v>
      </c>
      <c r="AM1" t="s">
        <v>152</v>
      </c>
      <c r="AN1">
        <v>11</v>
      </c>
      <c r="AO1" t="s">
        <v>135</v>
      </c>
      <c r="AP1">
        <v>6</v>
      </c>
      <c r="AQ1" t="s">
        <v>154</v>
      </c>
      <c r="AR1">
        <v>1</v>
      </c>
      <c r="AS1" t="s">
        <v>155</v>
      </c>
      <c r="AT1">
        <v>1</v>
      </c>
      <c r="AU1" t="s">
        <v>156</v>
      </c>
      <c r="AV1">
        <v>4</v>
      </c>
      <c r="AW1" t="s">
        <v>161</v>
      </c>
      <c r="AX1">
        <v>2</v>
      </c>
      <c r="AY1" t="s">
        <v>157</v>
      </c>
      <c r="AZ1">
        <v>1</v>
      </c>
      <c r="BA1" t="s">
        <v>252</v>
      </c>
      <c r="BB1">
        <v>1</v>
      </c>
      <c r="BC1" t="s">
        <v>158</v>
      </c>
      <c r="BD1">
        <v>16</v>
      </c>
      <c r="BE1" t="s">
        <v>159</v>
      </c>
      <c r="BF1">
        <v>2</v>
      </c>
      <c r="BG1" t="s">
        <v>139</v>
      </c>
      <c r="BH1">
        <v>3</v>
      </c>
      <c r="BI1" t="s">
        <v>160</v>
      </c>
      <c r="BJ1">
        <v>1</v>
      </c>
      <c r="BK1" t="s">
        <v>162</v>
      </c>
      <c r="BL1">
        <v>18</v>
      </c>
      <c r="BM1" t="s">
        <v>253</v>
      </c>
      <c r="BN1">
        <v>5</v>
      </c>
      <c r="BO1" t="s">
        <v>254</v>
      </c>
      <c r="BP1">
        <v>1</v>
      </c>
      <c r="BQ1" t="s">
        <v>163</v>
      </c>
      <c r="BR1">
        <v>5</v>
      </c>
      <c r="BS1" t="s">
        <v>153</v>
      </c>
      <c r="BT1">
        <v>8</v>
      </c>
      <c r="BU1" t="s">
        <v>165</v>
      </c>
      <c r="BV1">
        <v>1</v>
      </c>
      <c r="BW1" t="s">
        <v>166</v>
      </c>
      <c r="BX1" t="s">
        <v>26</v>
      </c>
      <c r="CW1" s="9"/>
    </row>
    <row r="2" spans="1:101" x14ac:dyDescent="0.25">
      <c r="A2" s="10"/>
      <c r="G2" s="9"/>
    </row>
    <row r="3" spans="1:101" x14ac:dyDescent="0.25">
      <c r="A3" s="10"/>
    </row>
    <row r="6" spans="1:101" x14ac:dyDescent="0.25">
      <c r="A6" s="10" t="s">
        <v>175</v>
      </c>
      <c r="B6">
        <v>19</v>
      </c>
    </row>
    <row r="7" spans="1:101" x14ac:dyDescent="0.25">
      <c r="A7" s="10" t="s">
        <v>193</v>
      </c>
      <c r="B7">
        <v>18</v>
      </c>
    </row>
    <row r="8" spans="1:101" x14ac:dyDescent="0.25">
      <c r="A8" s="10" t="s">
        <v>189</v>
      </c>
      <c r="B8">
        <v>16</v>
      </c>
    </row>
    <row r="9" spans="1:101" x14ac:dyDescent="0.25">
      <c r="A9" s="10" t="s">
        <v>178</v>
      </c>
      <c r="B9">
        <v>12</v>
      </c>
    </row>
    <row r="10" spans="1:101" x14ac:dyDescent="0.25">
      <c r="A10" s="10" t="s">
        <v>183</v>
      </c>
      <c r="B10">
        <v>11</v>
      </c>
    </row>
    <row r="11" spans="1:101" x14ac:dyDescent="0.25">
      <c r="A11" s="10" t="s">
        <v>195</v>
      </c>
      <c r="B11">
        <v>9</v>
      </c>
    </row>
    <row r="12" spans="1:101" x14ac:dyDescent="0.25">
      <c r="A12" s="10" t="s">
        <v>184</v>
      </c>
      <c r="B12">
        <v>8</v>
      </c>
    </row>
    <row r="13" spans="1:101" x14ac:dyDescent="0.25">
      <c r="A13" s="10" t="s">
        <v>167</v>
      </c>
      <c r="B13">
        <v>6</v>
      </c>
    </row>
    <row r="14" spans="1:101" x14ac:dyDescent="0.25">
      <c r="A14" s="10" t="s">
        <v>130</v>
      </c>
      <c r="B14">
        <v>5</v>
      </c>
    </row>
    <row r="15" spans="1:101" x14ac:dyDescent="0.25">
      <c r="A15" s="10" t="s">
        <v>168</v>
      </c>
      <c r="B15">
        <v>5</v>
      </c>
    </row>
    <row r="16" spans="1:101" x14ac:dyDescent="0.25">
      <c r="A16" s="10" t="s">
        <v>257</v>
      </c>
      <c r="B16">
        <v>5</v>
      </c>
    </row>
    <row r="17" spans="1:2" x14ac:dyDescent="0.25">
      <c r="A17" s="10" t="s">
        <v>194</v>
      </c>
      <c r="B17">
        <v>5</v>
      </c>
    </row>
    <row r="18" spans="1:2" x14ac:dyDescent="0.25">
      <c r="A18" s="10" t="s">
        <v>172</v>
      </c>
      <c r="B18">
        <v>4</v>
      </c>
    </row>
    <row r="19" spans="1:2" x14ac:dyDescent="0.25">
      <c r="A19" s="10" t="s">
        <v>187</v>
      </c>
      <c r="B19">
        <v>4</v>
      </c>
    </row>
    <row r="20" spans="1:2" x14ac:dyDescent="0.25">
      <c r="A20" s="10" t="s">
        <v>134</v>
      </c>
      <c r="B20">
        <v>3</v>
      </c>
    </row>
    <row r="21" spans="1:2" x14ac:dyDescent="0.25">
      <c r="A21" s="10" t="s">
        <v>177</v>
      </c>
      <c r="B21">
        <v>3</v>
      </c>
    </row>
    <row r="22" spans="1:2" x14ac:dyDescent="0.25">
      <c r="A22" s="10" t="s">
        <v>169</v>
      </c>
      <c r="B22">
        <v>3</v>
      </c>
    </row>
    <row r="23" spans="1:2" x14ac:dyDescent="0.25">
      <c r="A23" s="10" t="s">
        <v>174</v>
      </c>
      <c r="B23">
        <v>3</v>
      </c>
    </row>
    <row r="24" spans="1:2" x14ac:dyDescent="0.25">
      <c r="A24" s="10" t="s">
        <v>179</v>
      </c>
      <c r="B24">
        <v>3</v>
      </c>
    </row>
    <row r="25" spans="1:2" x14ac:dyDescent="0.25">
      <c r="A25" s="10" t="s">
        <v>171</v>
      </c>
      <c r="B25">
        <v>3</v>
      </c>
    </row>
    <row r="26" spans="1:2" x14ac:dyDescent="0.25">
      <c r="A26" s="10" t="s">
        <v>170</v>
      </c>
      <c r="B26">
        <v>2</v>
      </c>
    </row>
    <row r="27" spans="1:2" x14ac:dyDescent="0.25">
      <c r="A27" s="10" t="s">
        <v>176</v>
      </c>
      <c r="B27">
        <v>2</v>
      </c>
    </row>
    <row r="28" spans="1:2" x14ac:dyDescent="0.25">
      <c r="A28" s="10" t="s">
        <v>131</v>
      </c>
      <c r="B28">
        <v>2</v>
      </c>
    </row>
    <row r="29" spans="1:2" x14ac:dyDescent="0.25">
      <c r="A29" s="10" t="s">
        <v>181</v>
      </c>
      <c r="B29">
        <v>2</v>
      </c>
    </row>
    <row r="30" spans="1:2" x14ac:dyDescent="0.25">
      <c r="A30" s="10" t="s">
        <v>192</v>
      </c>
      <c r="B30">
        <v>2</v>
      </c>
    </row>
    <row r="31" spans="1:2" x14ac:dyDescent="0.25">
      <c r="A31" s="10" t="s">
        <v>190</v>
      </c>
      <c r="B31">
        <v>2</v>
      </c>
    </row>
    <row r="32" spans="1:2" x14ac:dyDescent="0.25">
      <c r="A32" s="10" t="s">
        <v>255</v>
      </c>
      <c r="B32">
        <v>1</v>
      </c>
    </row>
    <row r="33" spans="1:2" x14ac:dyDescent="0.25">
      <c r="A33" s="10" t="s">
        <v>173</v>
      </c>
      <c r="B33">
        <v>1</v>
      </c>
    </row>
    <row r="34" spans="1:2" x14ac:dyDescent="0.25">
      <c r="A34" s="10" t="s">
        <v>180</v>
      </c>
      <c r="B34">
        <v>1</v>
      </c>
    </row>
    <row r="35" spans="1:2" x14ac:dyDescent="0.25">
      <c r="A35" s="10" t="s">
        <v>182</v>
      </c>
      <c r="B35">
        <v>1</v>
      </c>
    </row>
    <row r="36" spans="1:2" x14ac:dyDescent="0.25">
      <c r="A36" s="10" t="s">
        <v>185</v>
      </c>
      <c r="B36">
        <v>1</v>
      </c>
    </row>
    <row r="37" spans="1:2" x14ac:dyDescent="0.25">
      <c r="A37" s="10" t="s">
        <v>186</v>
      </c>
      <c r="B37">
        <v>1</v>
      </c>
    </row>
    <row r="38" spans="1:2" x14ac:dyDescent="0.25">
      <c r="A38" s="10" t="s">
        <v>188</v>
      </c>
      <c r="B38">
        <v>1</v>
      </c>
    </row>
    <row r="39" spans="1:2" x14ac:dyDescent="0.25">
      <c r="A39" s="10" t="s">
        <v>256</v>
      </c>
      <c r="B39">
        <v>1</v>
      </c>
    </row>
    <row r="40" spans="1:2" x14ac:dyDescent="0.25">
      <c r="A40" s="10" t="s">
        <v>191</v>
      </c>
      <c r="B40">
        <v>1</v>
      </c>
    </row>
    <row r="41" spans="1:2" x14ac:dyDescent="0.25">
      <c r="A41" s="10" t="s">
        <v>258</v>
      </c>
      <c r="B41">
        <v>1</v>
      </c>
    </row>
    <row r="42" spans="1:2" x14ac:dyDescent="0.25">
      <c r="A42" s="10" t="s">
        <v>196</v>
      </c>
      <c r="B42">
        <v>1</v>
      </c>
    </row>
    <row r="43" spans="1:2" x14ac:dyDescent="0.25">
      <c r="A43" s="10" t="s">
        <v>197</v>
      </c>
      <c r="B43">
        <v>1</v>
      </c>
    </row>
    <row r="44" spans="1:2" x14ac:dyDescent="0.25">
      <c r="A44" s="10"/>
    </row>
    <row r="45" spans="1:2" x14ac:dyDescent="0.25">
      <c r="A45" s="10"/>
    </row>
    <row r="46" spans="1:2" x14ac:dyDescent="0.25">
      <c r="A46" s="10"/>
    </row>
    <row r="47" spans="1:2" x14ac:dyDescent="0.25">
      <c r="A47" s="10"/>
    </row>
    <row r="48" spans="1:2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</sheetData>
  <sortState ref="A6:B117">
    <sortCondition descending="1" ref="B6:B117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4</xdr:col>
                <xdr:colOff>304800</xdr:colOff>
                <xdr:row>5</xdr:row>
                <xdr:rowOff>38100</xdr:rowOff>
              </from>
              <to>
                <xdr:col>6</xdr:col>
                <xdr:colOff>428625</xdr:colOff>
                <xdr:row>7</xdr:row>
                <xdr:rowOff>76200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Y197"/>
  <sheetViews>
    <sheetView topLeftCell="A2" zoomScale="85" zoomScaleNormal="85" workbookViewId="0">
      <selection activeCell="J4" sqref="J4:J41"/>
    </sheetView>
  </sheetViews>
  <sheetFormatPr baseColWidth="10" defaultRowHeight="15" x14ac:dyDescent="0.25"/>
  <cols>
    <col min="1" max="1" width="14.7109375" bestFit="1" customWidth="1"/>
  </cols>
  <sheetData>
    <row r="2" spans="1:25" x14ac:dyDescent="0.25">
      <c r="O2" s="14" t="s">
        <v>22</v>
      </c>
      <c r="P2" s="14"/>
      <c r="V2" s="14" t="s">
        <v>25</v>
      </c>
      <c r="W2" s="14"/>
    </row>
    <row r="3" spans="1:25" x14ac:dyDescent="0.25">
      <c r="A3" s="14" t="s">
        <v>18</v>
      </c>
      <c r="B3" s="14"/>
      <c r="D3" s="14" t="s">
        <v>17</v>
      </c>
      <c r="E3" s="14"/>
      <c r="G3" s="14" t="s">
        <v>19</v>
      </c>
      <c r="H3" s="14"/>
      <c r="J3" s="14" t="s">
        <v>20</v>
      </c>
      <c r="K3" s="14"/>
      <c r="O3" s="11" t="s">
        <v>23</v>
      </c>
      <c r="P3" s="11" t="s">
        <v>24</v>
      </c>
      <c r="Q3" s="11" t="s">
        <v>23</v>
      </c>
      <c r="R3" s="11" t="s">
        <v>24</v>
      </c>
      <c r="V3" s="11" t="s">
        <v>23</v>
      </c>
      <c r="W3" s="11" t="s">
        <v>24</v>
      </c>
      <c r="X3" s="11" t="s">
        <v>23</v>
      </c>
      <c r="Y3" s="11" t="s">
        <v>24</v>
      </c>
    </row>
    <row r="4" spans="1:25" x14ac:dyDescent="0.25">
      <c r="A4" s="10" t="s">
        <v>132</v>
      </c>
      <c r="B4">
        <v>858</v>
      </c>
      <c r="D4" s="10" t="s">
        <v>199</v>
      </c>
      <c r="E4">
        <v>87</v>
      </c>
      <c r="G4" s="10" t="s">
        <v>132</v>
      </c>
      <c r="H4">
        <v>162</v>
      </c>
      <c r="J4" s="10" t="s">
        <v>208</v>
      </c>
      <c r="K4">
        <v>19</v>
      </c>
      <c r="N4" s="10" t="s">
        <v>132</v>
      </c>
      <c r="O4">
        <f t="shared" ref="O4:O56" si="0">+SUMIF($A$4:$A$208,N4,$B$4:$B$208)</f>
        <v>858</v>
      </c>
      <c r="P4">
        <f t="shared" ref="P4:P30" si="1">+SUMIF($D$4:$D$231,N4,$E$4:$E$231)</f>
        <v>2</v>
      </c>
      <c r="Q4" s="12">
        <f t="shared" ref="Q4:Q30" si="2">+IFERROR(LOG(O4),0)</f>
        <v>2.9334872878487053</v>
      </c>
      <c r="R4" s="12">
        <f t="shared" ref="R4:R30" si="3">+IFERROR(LOG(P4),0)</f>
        <v>0.3010299956639812</v>
      </c>
      <c r="U4" s="10" t="s">
        <v>132</v>
      </c>
      <c r="V4">
        <f t="shared" ref="V4:V42" si="4">+SUMIF($G$4:$G$208,U4,$H$4:$H$208)</f>
        <v>162</v>
      </c>
      <c r="W4">
        <f t="shared" ref="W4:W36" si="5">+SUMIF($J$4:$J$231,U4,$K$4:$K$231)</f>
        <v>5</v>
      </c>
      <c r="X4" s="12">
        <f t="shared" ref="X4:X36" si="6">+IFERROR(LOG(V4),0)</f>
        <v>2.2095150145426308</v>
      </c>
      <c r="Y4" s="12">
        <f t="shared" ref="Y4:Y36" si="7">+IFERROR(LOG(W4),0)</f>
        <v>0.69897000433601886</v>
      </c>
    </row>
    <row r="5" spans="1:25" x14ac:dyDescent="0.25">
      <c r="A5" s="10" t="s">
        <v>133</v>
      </c>
      <c r="B5">
        <v>2</v>
      </c>
      <c r="D5" s="10" t="s">
        <v>200</v>
      </c>
      <c r="E5">
        <v>72</v>
      </c>
      <c r="G5" s="10" t="s">
        <v>133</v>
      </c>
      <c r="H5">
        <v>5</v>
      </c>
      <c r="J5" s="10" t="s">
        <v>239</v>
      </c>
      <c r="K5">
        <v>18</v>
      </c>
      <c r="N5" s="10" t="s">
        <v>133</v>
      </c>
      <c r="O5">
        <f t="shared" si="0"/>
        <v>2</v>
      </c>
      <c r="P5">
        <f t="shared" ref="P5:P56" si="8">+SUMIF($D$4:$D$231,N5,$E$4:$E$231)</f>
        <v>5</v>
      </c>
      <c r="Q5" s="12">
        <f t="shared" ref="Q5:Q56" si="9">+IFERROR(LOG(O5),0)</f>
        <v>0.3010299956639812</v>
      </c>
      <c r="R5" s="12">
        <f t="shared" ref="R5:R56" si="10">+IFERROR(LOG(P5),0)</f>
        <v>0.69897000433601886</v>
      </c>
      <c r="U5" s="10" t="s">
        <v>133</v>
      </c>
      <c r="V5">
        <f t="shared" si="4"/>
        <v>5</v>
      </c>
      <c r="W5">
        <f t="shared" ref="W5:W42" si="11">+SUMIF($J$4:$J$231,U5,$K$4:$K$231)</f>
        <v>2</v>
      </c>
      <c r="X5" s="12">
        <f t="shared" ref="X5:X42" si="12">+IFERROR(LOG(V5),0)</f>
        <v>0.69897000433601886</v>
      </c>
      <c r="Y5" s="12">
        <f t="shared" ref="Y5:Y42" si="13">+IFERROR(LOG(W5),0)</f>
        <v>0.3010299956639812</v>
      </c>
    </row>
    <row r="6" spans="1:25" x14ac:dyDescent="0.25">
      <c r="D6" s="10" t="s">
        <v>201</v>
      </c>
      <c r="E6">
        <v>62</v>
      </c>
      <c r="G6" s="10" t="s">
        <v>198</v>
      </c>
      <c r="H6">
        <v>2</v>
      </c>
      <c r="J6" s="10" t="s">
        <v>205</v>
      </c>
      <c r="K6">
        <v>16</v>
      </c>
      <c r="N6" s="10" t="s">
        <v>199</v>
      </c>
      <c r="O6">
        <f t="shared" si="0"/>
        <v>0</v>
      </c>
      <c r="P6">
        <f t="shared" si="8"/>
        <v>87</v>
      </c>
      <c r="Q6" s="12">
        <f t="shared" si="9"/>
        <v>0</v>
      </c>
      <c r="R6" s="12">
        <f t="shared" si="10"/>
        <v>1.9395192526186185</v>
      </c>
      <c r="U6" s="10" t="s">
        <v>198</v>
      </c>
      <c r="V6">
        <f t="shared" si="4"/>
        <v>2</v>
      </c>
      <c r="W6">
        <f t="shared" si="11"/>
        <v>0</v>
      </c>
      <c r="X6" s="12">
        <f t="shared" si="12"/>
        <v>0.3010299956639812</v>
      </c>
      <c r="Y6" s="12">
        <f t="shared" si="13"/>
        <v>0</v>
      </c>
    </row>
    <row r="7" spans="1:25" x14ac:dyDescent="0.25">
      <c r="D7" s="10" t="s">
        <v>202</v>
      </c>
      <c r="E7">
        <v>60</v>
      </c>
      <c r="G7" s="10"/>
      <c r="J7" s="10" t="s">
        <v>232</v>
      </c>
      <c r="K7">
        <v>12</v>
      </c>
      <c r="N7" s="10" t="s">
        <v>200</v>
      </c>
      <c r="O7">
        <f t="shared" si="0"/>
        <v>0</v>
      </c>
      <c r="P7">
        <f t="shared" si="8"/>
        <v>72</v>
      </c>
      <c r="Q7" s="12">
        <f t="shared" si="9"/>
        <v>0</v>
      </c>
      <c r="R7" s="12">
        <f t="shared" si="10"/>
        <v>1.8573324964312685</v>
      </c>
      <c r="U7" s="10" t="s">
        <v>208</v>
      </c>
      <c r="V7">
        <f t="shared" si="4"/>
        <v>0</v>
      </c>
      <c r="W7">
        <f t="shared" si="11"/>
        <v>19</v>
      </c>
      <c r="X7" s="12">
        <f t="shared" si="12"/>
        <v>0</v>
      </c>
      <c r="Y7" s="12">
        <f t="shared" si="13"/>
        <v>1.2787536009528289</v>
      </c>
    </row>
    <row r="8" spans="1:25" x14ac:dyDescent="0.25">
      <c r="D8" s="10" t="s">
        <v>203</v>
      </c>
      <c r="E8">
        <v>49</v>
      </c>
      <c r="J8" s="10" t="s">
        <v>209</v>
      </c>
      <c r="K8">
        <v>11</v>
      </c>
      <c r="N8" s="10" t="s">
        <v>201</v>
      </c>
      <c r="O8">
        <f t="shared" si="0"/>
        <v>0</v>
      </c>
      <c r="P8">
        <f t="shared" si="8"/>
        <v>62</v>
      </c>
      <c r="Q8" s="12">
        <f t="shared" si="9"/>
        <v>0</v>
      </c>
      <c r="R8" s="12">
        <f t="shared" si="10"/>
        <v>1.7923916894982539</v>
      </c>
      <c r="U8" s="10" t="s">
        <v>239</v>
      </c>
      <c r="V8">
        <f t="shared" si="4"/>
        <v>0</v>
      </c>
      <c r="W8">
        <f t="shared" si="11"/>
        <v>18</v>
      </c>
      <c r="X8" s="12">
        <f t="shared" si="12"/>
        <v>0</v>
      </c>
      <c r="Y8" s="12">
        <f t="shared" si="13"/>
        <v>1.255272505103306</v>
      </c>
    </row>
    <row r="9" spans="1:25" x14ac:dyDescent="0.25">
      <c r="D9" s="10" t="s">
        <v>204</v>
      </c>
      <c r="E9">
        <v>40</v>
      </c>
      <c r="J9" s="10" t="s">
        <v>230</v>
      </c>
      <c r="K9">
        <v>9</v>
      </c>
      <c r="N9" s="10" t="s">
        <v>202</v>
      </c>
      <c r="O9">
        <f t="shared" si="0"/>
        <v>0</v>
      </c>
      <c r="P9">
        <f t="shared" si="8"/>
        <v>60</v>
      </c>
      <c r="Q9" s="12">
        <f t="shared" si="9"/>
        <v>0</v>
      </c>
      <c r="R9" s="12">
        <f t="shared" si="10"/>
        <v>1.7781512503836436</v>
      </c>
      <c r="U9" s="10" t="s">
        <v>205</v>
      </c>
      <c r="V9">
        <f t="shared" si="4"/>
        <v>0</v>
      </c>
      <c r="W9">
        <f t="shared" si="11"/>
        <v>16</v>
      </c>
      <c r="X9" s="12">
        <f t="shared" si="12"/>
        <v>0</v>
      </c>
      <c r="Y9" s="12">
        <f t="shared" si="13"/>
        <v>1.2041199826559248</v>
      </c>
    </row>
    <row r="10" spans="1:25" x14ac:dyDescent="0.25">
      <c r="D10" s="10" t="s">
        <v>205</v>
      </c>
      <c r="E10">
        <v>35</v>
      </c>
      <c r="J10" s="10" t="s">
        <v>199</v>
      </c>
      <c r="K10">
        <v>8</v>
      </c>
      <c r="N10" s="10" t="s">
        <v>203</v>
      </c>
      <c r="O10">
        <f t="shared" si="0"/>
        <v>0</v>
      </c>
      <c r="P10">
        <f t="shared" si="8"/>
        <v>49</v>
      </c>
      <c r="Q10" s="12">
        <f t="shared" si="9"/>
        <v>0</v>
      </c>
      <c r="R10" s="12">
        <f t="shared" si="10"/>
        <v>1.6901960800285136</v>
      </c>
      <c r="U10" s="10" t="s">
        <v>232</v>
      </c>
      <c r="V10">
        <f t="shared" si="4"/>
        <v>0</v>
      </c>
      <c r="W10">
        <f t="shared" si="11"/>
        <v>12</v>
      </c>
      <c r="X10" s="12">
        <f t="shared" si="12"/>
        <v>0</v>
      </c>
      <c r="Y10" s="12">
        <f t="shared" si="13"/>
        <v>1.0791812460476249</v>
      </c>
    </row>
    <row r="11" spans="1:25" x14ac:dyDescent="0.25">
      <c r="D11" s="10" t="s">
        <v>206</v>
      </c>
      <c r="E11">
        <v>35</v>
      </c>
      <c r="J11" s="10" t="s">
        <v>227</v>
      </c>
      <c r="K11">
        <v>6</v>
      </c>
      <c r="N11" s="10" t="s">
        <v>204</v>
      </c>
      <c r="O11">
        <f t="shared" si="0"/>
        <v>0</v>
      </c>
      <c r="P11">
        <f t="shared" si="8"/>
        <v>40</v>
      </c>
      <c r="Q11" s="12">
        <f t="shared" si="9"/>
        <v>0</v>
      </c>
      <c r="R11" s="12">
        <f t="shared" si="10"/>
        <v>1.6020599913279623</v>
      </c>
      <c r="U11" s="10" t="s">
        <v>209</v>
      </c>
      <c r="V11">
        <f t="shared" si="4"/>
        <v>0</v>
      </c>
      <c r="W11">
        <f t="shared" si="11"/>
        <v>11</v>
      </c>
      <c r="X11" s="12">
        <f t="shared" si="12"/>
        <v>0</v>
      </c>
      <c r="Y11" s="12">
        <f t="shared" si="13"/>
        <v>1.0413926851582251</v>
      </c>
    </row>
    <row r="12" spans="1:25" x14ac:dyDescent="0.25">
      <c r="D12" s="10" t="s">
        <v>207</v>
      </c>
      <c r="E12">
        <v>33</v>
      </c>
      <c r="J12" s="10" t="s">
        <v>132</v>
      </c>
      <c r="K12">
        <v>5</v>
      </c>
      <c r="N12" s="10" t="s">
        <v>205</v>
      </c>
      <c r="O12">
        <f t="shared" si="0"/>
        <v>0</v>
      </c>
      <c r="P12">
        <f t="shared" si="8"/>
        <v>35</v>
      </c>
      <c r="Q12" s="12">
        <f t="shared" si="9"/>
        <v>0</v>
      </c>
      <c r="R12" s="12">
        <f t="shared" si="10"/>
        <v>1.5440680443502757</v>
      </c>
      <c r="U12" s="10" t="s">
        <v>230</v>
      </c>
      <c r="V12">
        <f t="shared" si="4"/>
        <v>0</v>
      </c>
      <c r="W12">
        <f t="shared" si="11"/>
        <v>9</v>
      </c>
      <c r="X12" s="12">
        <f t="shared" si="12"/>
        <v>0</v>
      </c>
      <c r="Y12" s="12">
        <f t="shared" si="13"/>
        <v>0.95424250943932487</v>
      </c>
    </row>
    <row r="13" spans="1:25" x14ac:dyDescent="0.25">
      <c r="D13" s="10" t="s">
        <v>208</v>
      </c>
      <c r="E13">
        <v>29</v>
      </c>
      <c r="J13" s="10" t="s">
        <v>221</v>
      </c>
      <c r="K13">
        <v>5</v>
      </c>
      <c r="N13" s="10" t="s">
        <v>206</v>
      </c>
      <c r="O13">
        <f t="shared" si="0"/>
        <v>0</v>
      </c>
      <c r="P13">
        <f t="shared" si="8"/>
        <v>35</v>
      </c>
      <c r="Q13" s="12">
        <f t="shared" si="9"/>
        <v>0</v>
      </c>
      <c r="R13" s="12">
        <f t="shared" si="10"/>
        <v>1.5440680443502757</v>
      </c>
      <c r="U13" s="10" t="s">
        <v>199</v>
      </c>
      <c r="V13">
        <f t="shared" si="4"/>
        <v>0</v>
      </c>
      <c r="W13">
        <f t="shared" si="11"/>
        <v>8</v>
      </c>
      <c r="X13" s="12">
        <f t="shared" si="12"/>
        <v>0</v>
      </c>
      <c r="Y13" s="12">
        <f t="shared" si="13"/>
        <v>0.90308998699194354</v>
      </c>
    </row>
    <row r="14" spans="1:25" x14ac:dyDescent="0.25">
      <c r="D14" s="10" t="s">
        <v>209</v>
      </c>
      <c r="E14">
        <v>29</v>
      </c>
      <c r="J14" s="10" t="s">
        <v>259</v>
      </c>
      <c r="K14">
        <v>5</v>
      </c>
      <c r="N14" s="10" t="s">
        <v>207</v>
      </c>
      <c r="O14">
        <f t="shared" si="0"/>
        <v>0</v>
      </c>
      <c r="P14">
        <f t="shared" si="8"/>
        <v>33</v>
      </c>
      <c r="Q14" s="12">
        <f t="shared" si="9"/>
        <v>0</v>
      </c>
      <c r="R14" s="12">
        <f t="shared" si="10"/>
        <v>1.5185139398778875</v>
      </c>
      <c r="U14" s="10" t="s">
        <v>227</v>
      </c>
      <c r="V14">
        <f t="shared" si="4"/>
        <v>0</v>
      </c>
      <c r="W14">
        <f t="shared" si="11"/>
        <v>6</v>
      </c>
      <c r="X14" s="12">
        <f t="shared" si="12"/>
        <v>0</v>
      </c>
      <c r="Y14" s="12">
        <f t="shared" si="13"/>
        <v>0.77815125038364363</v>
      </c>
    </row>
    <row r="15" spans="1:25" x14ac:dyDescent="0.25">
      <c r="D15" s="10" t="s">
        <v>210</v>
      </c>
      <c r="E15">
        <v>27</v>
      </c>
      <c r="J15" s="10" t="s">
        <v>206</v>
      </c>
      <c r="K15">
        <v>5</v>
      </c>
      <c r="N15" s="10" t="s">
        <v>208</v>
      </c>
      <c r="O15">
        <f t="shared" si="0"/>
        <v>0</v>
      </c>
      <c r="P15">
        <f t="shared" si="8"/>
        <v>29</v>
      </c>
      <c r="Q15" s="12">
        <f t="shared" si="9"/>
        <v>0</v>
      </c>
      <c r="R15" s="12">
        <f t="shared" si="10"/>
        <v>1.4623979978989561</v>
      </c>
      <c r="U15" s="10" t="s">
        <v>221</v>
      </c>
      <c r="V15">
        <f t="shared" si="4"/>
        <v>0</v>
      </c>
      <c r="W15">
        <f t="shared" si="11"/>
        <v>5</v>
      </c>
      <c r="X15" s="12">
        <f t="shared" si="12"/>
        <v>0</v>
      </c>
      <c r="Y15" s="12">
        <f t="shared" si="13"/>
        <v>0.69897000433601886</v>
      </c>
    </row>
    <row r="16" spans="1:25" x14ac:dyDescent="0.25">
      <c r="D16" s="10" t="s">
        <v>211</v>
      </c>
      <c r="E16">
        <v>23</v>
      </c>
      <c r="J16" s="10" t="s">
        <v>201</v>
      </c>
      <c r="K16">
        <v>4</v>
      </c>
      <c r="N16" s="10" t="s">
        <v>209</v>
      </c>
      <c r="O16">
        <f t="shared" si="0"/>
        <v>0</v>
      </c>
      <c r="P16">
        <f t="shared" si="8"/>
        <v>29</v>
      </c>
      <c r="Q16" s="12">
        <f t="shared" si="9"/>
        <v>0</v>
      </c>
      <c r="R16" s="12">
        <f t="shared" si="10"/>
        <v>1.4623979978989561</v>
      </c>
      <c r="U16" s="10" t="s">
        <v>259</v>
      </c>
      <c r="V16">
        <f t="shared" si="4"/>
        <v>0</v>
      </c>
      <c r="W16">
        <f t="shared" si="11"/>
        <v>5</v>
      </c>
      <c r="X16" s="12">
        <f t="shared" si="12"/>
        <v>0</v>
      </c>
      <c r="Y16" s="12">
        <f t="shared" si="13"/>
        <v>0.69897000433601886</v>
      </c>
    </row>
    <row r="17" spans="4:25" x14ac:dyDescent="0.25">
      <c r="D17" s="10" t="s">
        <v>212</v>
      </c>
      <c r="E17">
        <v>22</v>
      </c>
      <c r="J17" s="10" t="s">
        <v>200</v>
      </c>
      <c r="K17">
        <v>4</v>
      </c>
      <c r="N17" s="10" t="s">
        <v>210</v>
      </c>
      <c r="O17">
        <f t="shared" si="0"/>
        <v>0</v>
      </c>
      <c r="P17">
        <f t="shared" si="8"/>
        <v>27</v>
      </c>
      <c r="Q17" s="12">
        <f t="shared" si="9"/>
        <v>0</v>
      </c>
      <c r="R17" s="12">
        <f t="shared" si="10"/>
        <v>1.4313637641589874</v>
      </c>
      <c r="U17" s="10" t="s">
        <v>206</v>
      </c>
      <c r="V17">
        <f t="shared" si="4"/>
        <v>0</v>
      </c>
      <c r="W17">
        <f t="shared" si="11"/>
        <v>5</v>
      </c>
      <c r="X17" s="12">
        <f t="shared" si="12"/>
        <v>0</v>
      </c>
      <c r="Y17" s="12">
        <f t="shared" si="13"/>
        <v>0.69897000433601886</v>
      </c>
    </row>
    <row r="18" spans="4:25" x14ac:dyDescent="0.25">
      <c r="D18" s="10" t="s">
        <v>213</v>
      </c>
      <c r="E18">
        <v>21</v>
      </c>
      <c r="J18" s="10" t="s">
        <v>260</v>
      </c>
      <c r="K18">
        <v>3</v>
      </c>
      <c r="N18" s="10" t="s">
        <v>211</v>
      </c>
      <c r="O18">
        <f t="shared" si="0"/>
        <v>0</v>
      </c>
      <c r="P18">
        <f t="shared" si="8"/>
        <v>23</v>
      </c>
      <c r="Q18" s="12">
        <f t="shared" si="9"/>
        <v>0</v>
      </c>
      <c r="R18" s="12">
        <f t="shared" si="10"/>
        <v>1.3617278360175928</v>
      </c>
      <c r="U18" s="10" t="s">
        <v>201</v>
      </c>
      <c r="V18">
        <f t="shared" si="4"/>
        <v>0</v>
      </c>
      <c r="W18">
        <f t="shared" si="11"/>
        <v>4</v>
      </c>
      <c r="X18" s="12">
        <f t="shared" si="12"/>
        <v>0</v>
      </c>
      <c r="Y18" s="12">
        <f t="shared" si="13"/>
        <v>0.6020599913279624</v>
      </c>
    </row>
    <row r="19" spans="4:25" x14ac:dyDescent="0.25">
      <c r="D19" s="10" t="s">
        <v>214</v>
      </c>
      <c r="E19">
        <v>20</v>
      </c>
      <c r="J19" s="10" t="s">
        <v>210</v>
      </c>
      <c r="K19">
        <v>3</v>
      </c>
      <c r="N19" s="10" t="s">
        <v>212</v>
      </c>
      <c r="O19">
        <f t="shared" si="0"/>
        <v>0</v>
      </c>
      <c r="P19">
        <f t="shared" si="8"/>
        <v>22</v>
      </c>
      <c r="Q19" s="12">
        <f t="shared" si="9"/>
        <v>0</v>
      </c>
      <c r="R19" s="12">
        <f t="shared" si="10"/>
        <v>1.3424226808222062</v>
      </c>
      <c r="U19" s="10" t="s">
        <v>200</v>
      </c>
      <c r="V19">
        <f t="shared" si="4"/>
        <v>0</v>
      </c>
      <c r="W19">
        <f t="shared" si="11"/>
        <v>4</v>
      </c>
      <c r="X19" s="12">
        <f t="shared" si="12"/>
        <v>0</v>
      </c>
      <c r="Y19" s="12">
        <f t="shared" si="13"/>
        <v>0.6020599913279624</v>
      </c>
    </row>
    <row r="20" spans="4:25" x14ac:dyDescent="0.25">
      <c r="D20" s="10" t="s">
        <v>215</v>
      </c>
      <c r="E20">
        <v>20</v>
      </c>
      <c r="J20" s="10" t="s">
        <v>223</v>
      </c>
      <c r="K20">
        <v>3</v>
      </c>
      <c r="N20" s="10" t="s">
        <v>213</v>
      </c>
      <c r="O20">
        <f t="shared" si="0"/>
        <v>0</v>
      </c>
      <c r="P20">
        <f t="shared" si="8"/>
        <v>21</v>
      </c>
      <c r="Q20" s="12">
        <f t="shared" si="9"/>
        <v>0</v>
      </c>
      <c r="R20" s="12">
        <f t="shared" si="10"/>
        <v>1.3222192947339193</v>
      </c>
      <c r="U20" s="10" t="s">
        <v>21</v>
      </c>
      <c r="V20">
        <f t="shared" si="4"/>
        <v>0</v>
      </c>
      <c r="W20">
        <v>3</v>
      </c>
      <c r="X20" s="12">
        <f t="shared" si="12"/>
        <v>0</v>
      </c>
      <c r="Y20" s="12">
        <f t="shared" si="13"/>
        <v>0.47712125471966244</v>
      </c>
    </row>
    <row r="21" spans="4:25" x14ac:dyDescent="0.25">
      <c r="D21" s="10" t="s">
        <v>216</v>
      </c>
      <c r="E21">
        <v>15</v>
      </c>
      <c r="J21" s="10" t="s">
        <v>203</v>
      </c>
      <c r="K21">
        <v>3</v>
      </c>
      <c r="N21" s="10" t="s">
        <v>214</v>
      </c>
      <c r="O21">
        <f t="shared" si="0"/>
        <v>0</v>
      </c>
      <c r="P21">
        <f t="shared" si="8"/>
        <v>20</v>
      </c>
      <c r="Q21" s="12">
        <f t="shared" si="9"/>
        <v>0</v>
      </c>
      <c r="R21" s="12">
        <f t="shared" si="10"/>
        <v>1.3010299956639813</v>
      </c>
      <c r="U21" s="10"/>
      <c r="X21" s="12"/>
      <c r="Y21" s="12"/>
    </row>
    <row r="22" spans="4:25" x14ac:dyDescent="0.25">
      <c r="D22" s="10" t="s">
        <v>217</v>
      </c>
      <c r="E22">
        <v>15</v>
      </c>
      <c r="J22" s="10" t="s">
        <v>238</v>
      </c>
      <c r="K22">
        <v>3</v>
      </c>
      <c r="N22" s="10" t="s">
        <v>215</v>
      </c>
      <c r="O22">
        <f t="shared" si="0"/>
        <v>0</v>
      </c>
      <c r="P22">
        <f t="shared" si="8"/>
        <v>20</v>
      </c>
      <c r="Q22" s="12">
        <f t="shared" si="9"/>
        <v>0</v>
      </c>
      <c r="R22" s="12">
        <f t="shared" si="10"/>
        <v>1.3010299956639813</v>
      </c>
      <c r="U22" s="10"/>
      <c r="X22" s="12"/>
      <c r="Y22" s="12"/>
    </row>
    <row r="23" spans="4:25" x14ac:dyDescent="0.25">
      <c r="D23" s="10" t="s">
        <v>218</v>
      </c>
      <c r="E23">
        <v>13</v>
      </c>
      <c r="J23" s="10" t="s">
        <v>207</v>
      </c>
      <c r="K23">
        <v>3</v>
      </c>
      <c r="N23" s="10" t="s">
        <v>216</v>
      </c>
      <c r="O23">
        <f t="shared" si="0"/>
        <v>0</v>
      </c>
      <c r="P23">
        <f t="shared" si="8"/>
        <v>15</v>
      </c>
      <c r="Q23" s="12">
        <f t="shared" si="9"/>
        <v>0</v>
      </c>
      <c r="R23" s="12">
        <f t="shared" si="10"/>
        <v>1.1760912590556813</v>
      </c>
      <c r="U23" s="10"/>
      <c r="X23" s="12"/>
      <c r="Y23" s="12"/>
    </row>
    <row r="24" spans="4:25" x14ac:dyDescent="0.25">
      <c r="D24" s="10" t="s">
        <v>219</v>
      </c>
      <c r="E24">
        <v>13</v>
      </c>
      <c r="J24" s="10" t="s">
        <v>229</v>
      </c>
      <c r="K24">
        <v>2</v>
      </c>
      <c r="N24" s="10" t="s">
        <v>217</v>
      </c>
      <c r="O24">
        <f t="shared" si="0"/>
        <v>0</v>
      </c>
      <c r="P24">
        <f t="shared" si="8"/>
        <v>15</v>
      </c>
      <c r="Q24" s="12">
        <f t="shared" si="9"/>
        <v>0</v>
      </c>
      <c r="R24" s="12">
        <f t="shared" si="10"/>
        <v>1.1760912590556813</v>
      </c>
      <c r="U24" s="10"/>
      <c r="X24" s="12"/>
      <c r="Y24" s="12"/>
    </row>
    <row r="25" spans="4:25" x14ac:dyDescent="0.25">
      <c r="D25" s="10" t="s">
        <v>220</v>
      </c>
      <c r="E25">
        <v>11</v>
      </c>
      <c r="J25" s="10" t="s">
        <v>235</v>
      </c>
      <c r="K25">
        <v>2</v>
      </c>
      <c r="N25" s="10" t="s">
        <v>218</v>
      </c>
      <c r="O25">
        <f t="shared" si="0"/>
        <v>0</v>
      </c>
      <c r="P25">
        <f t="shared" si="8"/>
        <v>13</v>
      </c>
      <c r="Q25" s="12">
        <f t="shared" si="9"/>
        <v>0</v>
      </c>
      <c r="R25" s="12">
        <f t="shared" si="10"/>
        <v>1.1139433523068367</v>
      </c>
      <c r="U25" s="10"/>
      <c r="X25" s="12"/>
      <c r="Y25" s="12"/>
    </row>
    <row r="26" spans="4:25" x14ac:dyDescent="0.25">
      <c r="D26" s="10" t="s">
        <v>221</v>
      </c>
      <c r="E26">
        <v>11</v>
      </c>
      <c r="J26" s="10" t="s">
        <v>133</v>
      </c>
      <c r="K26">
        <v>2</v>
      </c>
      <c r="N26" s="10" t="s">
        <v>219</v>
      </c>
      <c r="O26">
        <f t="shared" si="0"/>
        <v>0</v>
      </c>
      <c r="P26">
        <f t="shared" si="8"/>
        <v>13</v>
      </c>
      <c r="Q26" s="12">
        <f t="shared" si="9"/>
        <v>0</v>
      </c>
      <c r="R26" s="12">
        <f t="shared" si="10"/>
        <v>1.1139433523068367</v>
      </c>
      <c r="U26" s="10"/>
      <c r="X26" s="12"/>
      <c r="Y26" s="12"/>
    </row>
    <row r="27" spans="4:25" x14ac:dyDescent="0.25">
      <c r="D27" s="10" t="s">
        <v>222</v>
      </c>
      <c r="E27">
        <v>10</v>
      </c>
      <c r="J27" s="10" t="s">
        <v>224</v>
      </c>
      <c r="K27">
        <v>2</v>
      </c>
      <c r="N27" s="10" t="s">
        <v>220</v>
      </c>
      <c r="O27">
        <f t="shared" si="0"/>
        <v>0</v>
      </c>
      <c r="P27">
        <f t="shared" si="8"/>
        <v>11</v>
      </c>
      <c r="Q27" s="12">
        <f t="shared" si="9"/>
        <v>0</v>
      </c>
      <c r="R27" s="12">
        <f t="shared" si="10"/>
        <v>1.0413926851582251</v>
      </c>
      <c r="U27" s="10"/>
      <c r="X27" s="12"/>
      <c r="Y27" s="12"/>
    </row>
    <row r="28" spans="4:25" x14ac:dyDescent="0.25">
      <c r="D28" s="10" t="s">
        <v>223</v>
      </c>
      <c r="E28">
        <v>9</v>
      </c>
      <c r="J28" s="10" t="s">
        <v>247</v>
      </c>
      <c r="K28">
        <v>2</v>
      </c>
      <c r="N28" s="10" t="s">
        <v>221</v>
      </c>
      <c r="O28">
        <f t="shared" si="0"/>
        <v>0</v>
      </c>
      <c r="P28">
        <f t="shared" si="8"/>
        <v>11</v>
      </c>
      <c r="Q28" s="12">
        <f t="shared" si="9"/>
        <v>0</v>
      </c>
      <c r="R28" s="12">
        <f t="shared" si="10"/>
        <v>1.0413926851582251</v>
      </c>
      <c r="U28" s="10"/>
      <c r="X28" s="12"/>
      <c r="Y28" s="12"/>
    </row>
    <row r="29" spans="4:25" x14ac:dyDescent="0.25">
      <c r="D29" s="10" t="s">
        <v>224</v>
      </c>
      <c r="E29">
        <v>8</v>
      </c>
      <c r="J29" s="10" t="s">
        <v>214</v>
      </c>
      <c r="K29">
        <v>2</v>
      </c>
      <c r="N29" s="10" t="s">
        <v>222</v>
      </c>
      <c r="O29">
        <f t="shared" si="0"/>
        <v>0</v>
      </c>
      <c r="P29">
        <f t="shared" si="8"/>
        <v>10</v>
      </c>
      <c r="Q29" s="12">
        <f t="shared" si="9"/>
        <v>0</v>
      </c>
      <c r="R29" s="12">
        <f t="shared" si="10"/>
        <v>1</v>
      </c>
      <c r="U29" s="10"/>
      <c r="X29" s="12"/>
      <c r="Y29" s="12"/>
    </row>
    <row r="30" spans="4:25" x14ac:dyDescent="0.25">
      <c r="D30" s="10" t="s">
        <v>225</v>
      </c>
      <c r="E30">
        <v>8</v>
      </c>
      <c r="J30" s="10" t="s">
        <v>261</v>
      </c>
      <c r="K30">
        <v>1</v>
      </c>
      <c r="N30" s="10" t="s">
        <v>223</v>
      </c>
      <c r="O30">
        <f t="shared" si="0"/>
        <v>0</v>
      </c>
      <c r="P30">
        <f t="shared" si="8"/>
        <v>9</v>
      </c>
      <c r="Q30" s="12">
        <f t="shared" si="9"/>
        <v>0</v>
      </c>
      <c r="R30" s="12">
        <f t="shared" si="10"/>
        <v>0.95424250943932487</v>
      </c>
      <c r="U30" s="10"/>
      <c r="X30" s="12"/>
      <c r="Y30" s="12"/>
    </row>
    <row r="31" spans="4:25" x14ac:dyDescent="0.25">
      <c r="D31" s="10" t="s">
        <v>226</v>
      </c>
      <c r="E31">
        <v>8</v>
      </c>
      <c r="J31" s="10" t="s">
        <v>233</v>
      </c>
      <c r="K31">
        <v>1</v>
      </c>
      <c r="N31" s="10" t="s">
        <v>224</v>
      </c>
      <c r="O31">
        <f t="shared" si="0"/>
        <v>0</v>
      </c>
      <c r="P31">
        <f t="shared" si="8"/>
        <v>8</v>
      </c>
      <c r="Q31" s="12">
        <f t="shared" si="9"/>
        <v>0</v>
      </c>
      <c r="R31" s="12">
        <f t="shared" si="10"/>
        <v>0.90308998699194354</v>
      </c>
      <c r="U31" s="10"/>
      <c r="X31" s="12"/>
      <c r="Y31" s="12"/>
    </row>
    <row r="32" spans="4:25" x14ac:dyDescent="0.25">
      <c r="D32" s="10" t="s">
        <v>227</v>
      </c>
      <c r="E32">
        <v>7</v>
      </c>
      <c r="J32" s="10" t="s">
        <v>228</v>
      </c>
      <c r="K32">
        <v>1</v>
      </c>
      <c r="N32" s="10" t="s">
        <v>225</v>
      </c>
      <c r="O32">
        <f t="shared" si="0"/>
        <v>0</v>
      </c>
      <c r="P32">
        <f t="shared" si="8"/>
        <v>8</v>
      </c>
      <c r="Q32" s="12">
        <f t="shared" si="9"/>
        <v>0</v>
      </c>
      <c r="R32" s="12">
        <f t="shared" si="10"/>
        <v>0.90308998699194354</v>
      </c>
      <c r="U32" s="10"/>
      <c r="X32" s="12"/>
      <c r="Y32" s="12"/>
    </row>
    <row r="33" spans="4:25" x14ac:dyDescent="0.25">
      <c r="D33" s="10" t="s">
        <v>228</v>
      </c>
      <c r="E33">
        <v>7</v>
      </c>
      <c r="J33" s="10" t="s">
        <v>216</v>
      </c>
      <c r="K33">
        <v>1</v>
      </c>
      <c r="N33" s="10" t="s">
        <v>226</v>
      </c>
      <c r="O33">
        <f t="shared" si="0"/>
        <v>0</v>
      </c>
      <c r="P33">
        <f t="shared" si="8"/>
        <v>8</v>
      </c>
      <c r="Q33" s="12">
        <f t="shared" si="9"/>
        <v>0</v>
      </c>
      <c r="R33" s="12">
        <f t="shared" si="10"/>
        <v>0.90308998699194354</v>
      </c>
      <c r="U33" s="10"/>
      <c r="X33" s="12"/>
      <c r="Y33" s="12"/>
    </row>
    <row r="34" spans="4:25" x14ac:dyDescent="0.25">
      <c r="D34" s="10" t="s">
        <v>229</v>
      </c>
      <c r="E34">
        <v>7</v>
      </c>
      <c r="J34" s="10" t="s">
        <v>243</v>
      </c>
      <c r="K34">
        <v>1</v>
      </c>
      <c r="N34" s="10" t="s">
        <v>227</v>
      </c>
      <c r="O34">
        <f t="shared" si="0"/>
        <v>0</v>
      </c>
      <c r="P34">
        <f t="shared" si="8"/>
        <v>7</v>
      </c>
      <c r="Q34" s="12">
        <f t="shared" si="9"/>
        <v>0</v>
      </c>
      <c r="R34" s="12">
        <f t="shared" si="10"/>
        <v>0.84509804001425681</v>
      </c>
      <c r="U34" s="10"/>
      <c r="X34" s="12"/>
      <c r="Y34" s="12"/>
    </row>
    <row r="35" spans="4:25" x14ac:dyDescent="0.25">
      <c r="D35" s="10" t="s">
        <v>230</v>
      </c>
      <c r="E35">
        <v>7</v>
      </c>
      <c r="J35" s="10" t="s">
        <v>242</v>
      </c>
      <c r="K35">
        <v>1</v>
      </c>
      <c r="N35" s="10" t="s">
        <v>228</v>
      </c>
      <c r="O35">
        <f t="shared" si="0"/>
        <v>0</v>
      </c>
      <c r="P35">
        <f t="shared" si="8"/>
        <v>7</v>
      </c>
      <c r="Q35" s="12">
        <f t="shared" si="9"/>
        <v>0</v>
      </c>
      <c r="R35" s="12">
        <f t="shared" si="10"/>
        <v>0.84509804001425681</v>
      </c>
      <c r="U35" s="10"/>
      <c r="X35" s="12"/>
      <c r="Y35" s="12"/>
    </row>
    <row r="36" spans="4:25" x14ac:dyDescent="0.25">
      <c r="D36" s="10" t="s">
        <v>231</v>
      </c>
      <c r="E36">
        <v>5</v>
      </c>
      <c r="J36" s="10" t="s">
        <v>204</v>
      </c>
      <c r="K36">
        <v>1</v>
      </c>
      <c r="N36" s="10" t="s">
        <v>229</v>
      </c>
      <c r="O36">
        <f t="shared" si="0"/>
        <v>0</v>
      </c>
      <c r="P36">
        <f t="shared" si="8"/>
        <v>7</v>
      </c>
      <c r="Q36" s="12">
        <f t="shared" si="9"/>
        <v>0</v>
      </c>
      <c r="R36" s="12">
        <f t="shared" si="10"/>
        <v>0.84509804001425681</v>
      </c>
      <c r="U36" s="10"/>
      <c r="X36" s="12"/>
      <c r="Y36" s="12"/>
    </row>
    <row r="37" spans="4:25" x14ac:dyDescent="0.25">
      <c r="D37" s="10" t="s">
        <v>133</v>
      </c>
      <c r="E37">
        <v>5</v>
      </c>
      <c r="J37" s="10" t="s">
        <v>262</v>
      </c>
      <c r="K37">
        <v>1</v>
      </c>
      <c r="N37" s="10" t="s">
        <v>230</v>
      </c>
      <c r="O37">
        <f t="shared" si="0"/>
        <v>0</v>
      </c>
      <c r="P37">
        <f t="shared" si="8"/>
        <v>7</v>
      </c>
      <c r="Q37" s="12">
        <f t="shared" si="9"/>
        <v>0</v>
      </c>
      <c r="R37" s="12">
        <f t="shared" si="10"/>
        <v>0.84509804001425681</v>
      </c>
      <c r="U37" s="10"/>
      <c r="X37" s="12"/>
      <c r="Y37" s="12"/>
    </row>
    <row r="38" spans="4:25" x14ac:dyDescent="0.25">
      <c r="D38" s="10" t="s">
        <v>232</v>
      </c>
      <c r="E38">
        <v>4</v>
      </c>
      <c r="J38" s="10" t="s">
        <v>246</v>
      </c>
      <c r="K38">
        <v>1</v>
      </c>
      <c r="N38" s="10" t="s">
        <v>231</v>
      </c>
      <c r="O38">
        <f t="shared" si="0"/>
        <v>0</v>
      </c>
      <c r="P38">
        <f t="shared" si="8"/>
        <v>5</v>
      </c>
      <c r="Q38" s="12">
        <f t="shared" si="9"/>
        <v>0</v>
      </c>
      <c r="R38" s="12">
        <f t="shared" si="10"/>
        <v>0.69897000433601886</v>
      </c>
      <c r="U38" s="10"/>
      <c r="X38" s="12"/>
      <c r="Y38" s="12"/>
    </row>
    <row r="39" spans="4:25" x14ac:dyDescent="0.25">
      <c r="D39" s="10" t="s">
        <v>233</v>
      </c>
      <c r="E39">
        <v>4</v>
      </c>
      <c r="J39" s="10" t="s">
        <v>263</v>
      </c>
      <c r="K39">
        <v>1</v>
      </c>
      <c r="N39" s="10" t="s">
        <v>232</v>
      </c>
      <c r="O39">
        <f t="shared" si="0"/>
        <v>0</v>
      </c>
      <c r="P39">
        <f t="shared" si="8"/>
        <v>4</v>
      </c>
      <c r="Q39" s="12">
        <f t="shared" si="9"/>
        <v>0</v>
      </c>
      <c r="R39" s="12">
        <f t="shared" si="10"/>
        <v>0.6020599913279624</v>
      </c>
      <c r="U39" s="10"/>
      <c r="X39" s="12"/>
      <c r="Y39" s="12"/>
    </row>
    <row r="40" spans="4:25" x14ac:dyDescent="0.25">
      <c r="D40" s="10" t="s">
        <v>234</v>
      </c>
      <c r="E40">
        <v>3</v>
      </c>
      <c r="J40" s="10" t="s">
        <v>217</v>
      </c>
      <c r="K40">
        <v>1</v>
      </c>
      <c r="N40" s="10" t="s">
        <v>233</v>
      </c>
      <c r="O40">
        <f t="shared" si="0"/>
        <v>0</v>
      </c>
      <c r="P40">
        <f t="shared" si="8"/>
        <v>4</v>
      </c>
      <c r="Q40" s="12">
        <f t="shared" si="9"/>
        <v>0</v>
      </c>
      <c r="R40" s="12">
        <f t="shared" si="10"/>
        <v>0.6020599913279624</v>
      </c>
      <c r="U40" s="10"/>
      <c r="X40" s="12"/>
      <c r="Y40" s="12"/>
    </row>
    <row r="41" spans="4:25" x14ac:dyDescent="0.25">
      <c r="D41" s="10" t="s">
        <v>235</v>
      </c>
      <c r="E41">
        <v>3</v>
      </c>
      <c r="J41" s="10" t="s">
        <v>249</v>
      </c>
      <c r="K41">
        <v>1</v>
      </c>
      <c r="N41" s="10" t="s">
        <v>21</v>
      </c>
      <c r="O41">
        <f t="shared" si="0"/>
        <v>0</v>
      </c>
      <c r="P41">
        <v>3</v>
      </c>
      <c r="Q41" s="12">
        <f t="shared" si="9"/>
        <v>0</v>
      </c>
      <c r="R41" s="12">
        <f t="shared" si="10"/>
        <v>0.47712125471966244</v>
      </c>
      <c r="U41" s="10"/>
      <c r="X41" s="12"/>
      <c r="Y41" s="12"/>
    </row>
    <row r="42" spans="4:25" x14ac:dyDescent="0.25">
      <c r="D42" s="10" t="s">
        <v>236</v>
      </c>
      <c r="E42">
        <v>3</v>
      </c>
      <c r="N42" s="10"/>
      <c r="Q42" s="12"/>
      <c r="R42" s="12"/>
      <c r="U42" s="10"/>
      <c r="X42" s="12"/>
      <c r="Y42" s="12"/>
    </row>
    <row r="43" spans="4:25" x14ac:dyDescent="0.25">
      <c r="D43" s="10" t="s">
        <v>237</v>
      </c>
      <c r="E43">
        <v>3</v>
      </c>
      <c r="N43" s="10"/>
      <c r="Q43" s="12"/>
      <c r="R43" s="12"/>
      <c r="X43" s="12"/>
      <c r="Y43" s="12"/>
    </row>
    <row r="44" spans="4:25" x14ac:dyDescent="0.25">
      <c r="D44" s="10" t="s">
        <v>238</v>
      </c>
      <c r="E44">
        <v>3</v>
      </c>
      <c r="N44" s="10"/>
      <c r="Q44" s="12"/>
      <c r="R44" s="12"/>
      <c r="X44" s="12"/>
      <c r="Y44" s="12"/>
    </row>
    <row r="45" spans="4:25" x14ac:dyDescent="0.25">
      <c r="D45" s="10" t="s">
        <v>132</v>
      </c>
      <c r="E45">
        <v>2</v>
      </c>
      <c r="N45" s="10"/>
      <c r="Q45" s="12"/>
      <c r="R45" s="12"/>
      <c r="X45" s="12"/>
      <c r="Y45" s="12"/>
    </row>
    <row r="46" spans="4:25" x14ac:dyDescent="0.25">
      <c r="D46" s="10" t="s">
        <v>239</v>
      </c>
      <c r="E46">
        <v>2</v>
      </c>
      <c r="N46" s="10"/>
      <c r="Q46" s="12"/>
      <c r="R46" s="12"/>
      <c r="X46" s="12"/>
      <c r="Y46" s="12"/>
    </row>
    <row r="47" spans="4:25" x14ac:dyDescent="0.25">
      <c r="D47" s="10" t="s">
        <v>240</v>
      </c>
      <c r="E47">
        <v>1</v>
      </c>
      <c r="N47" s="10"/>
      <c r="Q47" s="12"/>
      <c r="R47" s="12"/>
      <c r="X47" s="12"/>
      <c r="Y47" s="12"/>
    </row>
    <row r="48" spans="4:25" x14ac:dyDescent="0.25">
      <c r="D48" s="10" t="s">
        <v>241</v>
      </c>
      <c r="E48">
        <v>1</v>
      </c>
      <c r="N48" s="10"/>
      <c r="Q48" s="12"/>
      <c r="R48" s="12"/>
      <c r="X48" s="12"/>
      <c r="Y48" s="12"/>
    </row>
    <row r="49" spans="4:25" x14ac:dyDescent="0.25">
      <c r="D49" s="10" t="s">
        <v>242</v>
      </c>
      <c r="E49">
        <v>1</v>
      </c>
      <c r="N49" s="10"/>
      <c r="Q49" s="12"/>
      <c r="R49" s="12"/>
      <c r="X49" s="12"/>
      <c r="Y49" s="12"/>
    </row>
    <row r="50" spans="4:25" x14ac:dyDescent="0.25">
      <c r="D50" s="10" t="s">
        <v>243</v>
      </c>
      <c r="E50">
        <v>1</v>
      </c>
      <c r="N50" s="10"/>
      <c r="Q50" s="12"/>
      <c r="R50" s="12"/>
      <c r="X50" s="12"/>
      <c r="Y50" s="12"/>
    </row>
    <row r="51" spans="4:25" x14ac:dyDescent="0.25">
      <c r="D51" s="10" t="s">
        <v>244</v>
      </c>
      <c r="E51">
        <v>1</v>
      </c>
      <c r="N51" s="10"/>
      <c r="Q51" s="12"/>
      <c r="R51" s="12"/>
      <c r="X51" s="12"/>
      <c r="Y51" s="12"/>
    </row>
    <row r="52" spans="4:25" x14ac:dyDescent="0.25">
      <c r="D52" s="10" t="s">
        <v>245</v>
      </c>
      <c r="E52">
        <v>1</v>
      </c>
      <c r="N52" s="10"/>
      <c r="Q52" s="12"/>
      <c r="R52" s="12"/>
      <c r="X52" s="12"/>
      <c r="Y52" s="12"/>
    </row>
    <row r="53" spans="4:25" x14ac:dyDescent="0.25">
      <c r="D53" s="10" t="s">
        <v>246</v>
      </c>
      <c r="E53">
        <v>1</v>
      </c>
      <c r="N53" s="10"/>
      <c r="Q53" s="12"/>
      <c r="R53" s="12"/>
      <c r="X53" s="12"/>
      <c r="Y53" s="12"/>
    </row>
    <row r="54" spans="4:25" x14ac:dyDescent="0.25">
      <c r="D54" s="10" t="s">
        <v>247</v>
      </c>
      <c r="E54">
        <v>1</v>
      </c>
      <c r="N54" s="10"/>
      <c r="Q54" s="12"/>
      <c r="R54" s="12"/>
      <c r="X54" s="12"/>
      <c r="Y54" s="12"/>
    </row>
    <row r="55" spans="4:25" x14ac:dyDescent="0.25">
      <c r="D55" s="10" t="s">
        <v>248</v>
      </c>
      <c r="E55">
        <v>1</v>
      </c>
      <c r="N55" s="10"/>
      <c r="Q55" s="12"/>
      <c r="R55" s="12"/>
      <c r="X55" s="12"/>
      <c r="Y55" s="12"/>
    </row>
    <row r="56" spans="4:25" x14ac:dyDescent="0.25">
      <c r="D56" s="10" t="s">
        <v>249</v>
      </c>
      <c r="E56">
        <v>1</v>
      </c>
      <c r="N56" s="10"/>
      <c r="Q56" s="12"/>
      <c r="R56" s="12"/>
      <c r="X56" s="12"/>
      <c r="Y56" s="12"/>
    </row>
    <row r="57" spans="4:25" x14ac:dyDescent="0.25">
      <c r="Q57" s="12"/>
      <c r="R57" s="12"/>
      <c r="X57" s="12"/>
      <c r="Y57" s="12"/>
    </row>
    <row r="58" spans="4:25" x14ac:dyDescent="0.25">
      <c r="Q58" s="12"/>
      <c r="R58" s="12"/>
      <c r="X58" s="12"/>
      <c r="Y58" s="12"/>
    </row>
    <row r="59" spans="4:25" x14ac:dyDescent="0.25">
      <c r="Q59" s="12"/>
      <c r="R59" s="12"/>
      <c r="X59" s="12"/>
      <c r="Y59" s="12"/>
    </row>
    <row r="60" spans="4:25" x14ac:dyDescent="0.25">
      <c r="J60" s="10"/>
      <c r="Q60" s="12"/>
      <c r="R60" s="12"/>
      <c r="X60" s="12"/>
      <c r="Y60" s="12"/>
    </row>
    <row r="61" spans="4:25" x14ac:dyDescent="0.25">
      <c r="Q61" s="12"/>
      <c r="R61" s="12"/>
      <c r="X61" s="12"/>
      <c r="Y61" s="12"/>
    </row>
    <row r="62" spans="4:25" x14ac:dyDescent="0.25">
      <c r="Q62" s="12"/>
      <c r="R62" s="12"/>
      <c r="X62" s="12"/>
      <c r="Y62" s="12"/>
    </row>
    <row r="63" spans="4:25" x14ac:dyDescent="0.25">
      <c r="Q63" s="12"/>
      <c r="R63" s="12"/>
      <c r="X63" s="12"/>
      <c r="Y63" s="12"/>
    </row>
    <row r="64" spans="4:25" x14ac:dyDescent="0.25">
      <c r="X64" s="12"/>
      <c r="Y64" s="12"/>
    </row>
    <row r="65" spans="24:25" x14ac:dyDescent="0.25">
      <c r="X65" s="12"/>
      <c r="Y65" s="12"/>
    </row>
    <row r="66" spans="24:25" x14ac:dyDescent="0.25">
      <c r="X66" s="12"/>
      <c r="Y66" s="12"/>
    </row>
    <row r="67" spans="24:25" x14ac:dyDescent="0.25">
      <c r="X67" s="12"/>
      <c r="Y67" s="12"/>
    </row>
    <row r="68" spans="24:25" x14ac:dyDescent="0.25">
      <c r="X68" s="12"/>
      <c r="Y68" s="12"/>
    </row>
    <row r="69" spans="24:25" x14ac:dyDescent="0.25">
      <c r="X69" s="12"/>
      <c r="Y69" s="12"/>
    </row>
    <row r="70" spans="24:25" x14ac:dyDescent="0.25">
      <c r="X70" s="12"/>
      <c r="Y70" s="12"/>
    </row>
    <row r="71" spans="24:25" x14ac:dyDescent="0.25">
      <c r="X71" s="12"/>
      <c r="Y71" s="12"/>
    </row>
    <row r="72" spans="24:25" x14ac:dyDescent="0.25">
      <c r="X72" s="12"/>
      <c r="Y72" s="12"/>
    </row>
    <row r="73" spans="24:25" x14ac:dyDescent="0.25">
      <c r="X73" s="12"/>
      <c r="Y73" s="12"/>
    </row>
    <row r="74" spans="24:25" x14ac:dyDescent="0.25">
      <c r="X74" s="12"/>
      <c r="Y74" s="12"/>
    </row>
    <row r="75" spans="24:25" x14ac:dyDescent="0.25">
      <c r="X75" s="12"/>
      <c r="Y75" s="12"/>
    </row>
    <row r="76" spans="24:25" x14ac:dyDescent="0.25">
      <c r="X76" s="12"/>
      <c r="Y76" s="12"/>
    </row>
    <row r="175" spans="1:14" x14ac:dyDescent="0.25">
      <c r="A175" s="9"/>
      <c r="N175" s="9"/>
    </row>
    <row r="197" spans="1:14" x14ac:dyDescent="0.25">
      <c r="A197" s="9"/>
      <c r="N197" s="9"/>
    </row>
  </sheetData>
  <sortState ref="A4:B7">
    <sortCondition ref="A4"/>
  </sortState>
  <mergeCells count="6">
    <mergeCell ref="V2:W2"/>
    <mergeCell ref="D3:E3"/>
    <mergeCell ref="A3:B3"/>
    <mergeCell ref="G3:H3"/>
    <mergeCell ref="J3:K3"/>
    <mergeCell ref="O2:P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M260"/>
  <sheetViews>
    <sheetView tabSelected="1" topLeftCell="I13" workbookViewId="0">
      <selection activeCell="Q16" sqref="Q16"/>
    </sheetView>
  </sheetViews>
  <sheetFormatPr baseColWidth="10" defaultRowHeight="15" x14ac:dyDescent="0.25"/>
  <sheetData>
    <row r="3" spans="1:13" x14ac:dyDescent="0.25">
      <c r="B3" t="s">
        <v>23</v>
      </c>
      <c r="L3" t="s">
        <v>24</v>
      </c>
    </row>
    <row r="4" spans="1:13" x14ac:dyDescent="0.25">
      <c r="A4" s="10" t="s">
        <v>132</v>
      </c>
      <c r="B4">
        <f>SUMIF('Graficos Paquetes'!$A$4:$A$5,'Probabilidad SRC DST'!A4,'Graficos Paquetes'!$B$4:$B$5)+SUMIF('Graficos Paquetes'!$G$4:$G$6,A4,'Graficos Paquetes'!$H$4:$H$6)</f>
        <v>1020</v>
      </c>
      <c r="C4" s="13">
        <f>+B4/SUM($B$4:$B$6)</f>
        <v>0.99125364431486884</v>
      </c>
      <c r="K4" s="10" t="s">
        <v>199</v>
      </c>
      <c r="L4">
        <v>95</v>
      </c>
      <c r="M4" s="13">
        <f>+L4/SUM($L$4:$L$31)</f>
        <v>9.23226433430515E-2</v>
      </c>
    </row>
    <row r="5" spans="1:13" x14ac:dyDescent="0.25">
      <c r="A5" s="10" t="s">
        <v>133</v>
      </c>
      <c r="B5">
        <f>SUMIF('Graficos Paquetes'!$A$4:$A$5,'Probabilidad SRC DST'!A5,'Graficos Paquetes'!$B$4:$B$5)+SUMIF('Graficos Paquetes'!$G$4:$G$6,A5,'Graficos Paquetes'!$H$4:$H$6)</f>
        <v>7</v>
      </c>
      <c r="C5" s="13">
        <f t="shared" ref="C5:C6" si="0">+B5/SUM($B$4:$B$6)</f>
        <v>6.8027210884353739E-3</v>
      </c>
      <c r="K5" s="10" t="s">
        <v>200</v>
      </c>
      <c r="L5">
        <v>76</v>
      </c>
      <c r="M5" s="13">
        <f t="shared" ref="M5:M31" si="1">+L5/SUM($L$4:$L$31)</f>
        <v>7.38581146744412E-2</v>
      </c>
    </row>
    <row r="6" spans="1:13" x14ac:dyDescent="0.25">
      <c r="A6" s="10" t="s">
        <v>198</v>
      </c>
      <c r="B6">
        <f>SUMIF('Graficos Paquetes'!$A$4:$A$5,'Probabilidad SRC DST'!A6,'Graficos Paquetes'!$B$4:$B$5)+SUMIF('Graficos Paquetes'!$G$4:$G$6,A6,'Graficos Paquetes'!$H$4:$H$6)</f>
        <v>2</v>
      </c>
      <c r="C6" s="13">
        <f t="shared" si="0"/>
        <v>1.9436345966958211E-3</v>
      </c>
      <c r="K6" s="10" t="s">
        <v>201</v>
      </c>
      <c r="L6">
        <v>66</v>
      </c>
      <c r="M6" s="13">
        <f t="shared" si="1"/>
        <v>6.4139941690962099E-2</v>
      </c>
    </row>
    <row r="7" spans="1:13" x14ac:dyDescent="0.25">
      <c r="C7" s="13"/>
      <c r="K7" s="10" t="s">
        <v>202</v>
      </c>
      <c r="L7">
        <v>60</v>
      </c>
      <c r="M7" s="13">
        <f t="shared" si="1"/>
        <v>5.8309037900874633E-2</v>
      </c>
    </row>
    <row r="8" spans="1:13" x14ac:dyDescent="0.25">
      <c r="C8" s="13"/>
      <c r="K8" s="10" t="s">
        <v>203</v>
      </c>
      <c r="L8">
        <v>52</v>
      </c>
      <c r="M8" s="13">
        <f t="shared" si="1"/>
        <v>5.0534499514091349E-2</v>
      </c>
    </row>
    <row r="9" spans="1:13" x14ac:dyDescent="0.25">
      <c r="C9" s="13"/>
      <c r="K9" s="10" t="s">
        <v>205</v>
      </c>
      <c r="L9">
        <v>51</v>
      </c>
      <c r="M9" s="13">
        <f t="shared" si="1"/>
        <v>4.9562682215743441E-2</v>
      </c>
    </row>
    <row r="10" spans="1:13" x14ac:dyDescent="0.25">
      <c r="C10" s="13"/>
      <c r="K10" s="10" t="s">
        <v>208</v>
      </c>
      <c r="L10">
        <v>48</v>
      </c>
      <c r="M10" s="13">
        <f t="shared" si="1"/>
        <v>4.6647230320699708E-2</v>
      </c>
    </row>
    <row r="11" spans="1:13" x14ac:dyDescent="0.25">
      <c r="C11" s="13"/>
      <c r="K11" s="10" t="s">
        <v>204</v>
      </c>
      <c r="L11">
        <v>41</v>
      </c>
      <c r="M11" s="13">
        <f t="shared" si="1"/>
        <v>3.9844509232264333E-2</v>
      </c>
    </row>
    <row r="12" spans="1:13" x14ac:dyDescent="0.25">
      <c r="C12" s="13"/>
      <c r="K12" s="10" t="s">
        <v>206</v>
      </c>
      <c r="L12">
        <v>40</v>
      </c>
      <c r="M12" s="13">
        <f t="shared" si="1"/>
        <v>3.8872691933916424E-2</v>
      </c>
    </row>
    <row r="13" spans="1:13" x14ac:dyDescent="0.25">
      <c r="C13" s="13"/>
      <c r="K13" s="10" t="s">
        <v>209</v>
      </c>
      <c r="L13">
        <v>40</v>
      </c>
      <c r="M13" s="13">
        <f t="shared" si="1"/>
        <v>3.8872691933916424E-2</v>
      </c>
    </row>
    <row r="14" spans="1:13" x14ac:dyDescent="0.25">
      <c r="C14" s="13"/>
      <c r="K14" s="10" t="s">
        <v>207</v>
      </c>
      <c r="L14">
        <v>36</v>
      </c>
      <c r="M14" s="13">
        <f t="shared" si="1"/>
        <v>3.4985422740524783E-2</v>
      </c>
    </row>
    <row r="15" spans="1:13" x14ac:dyDescent="0.25">
      <c r="C15" s="13"/>
      <c r="K15" s="10" t="s">
        <v>210</v>
      </c>
      <c r="L15">
        <v>30</v>
      </c>
      <c r="M15" s="13">
        <f t="shared" si="1"/>
        <v>2.9154518950437316E-2</v>
      </c>
    </row>
    <row r="16" spans="1:13" x14ac:dyDescent="0.25">
      <c r="C16" s="13"/>
      <c r="K16" s="10" t="s">
        <v>211</v>
      </c>
      <c r="L16">
        <v>23</v>
      </c>
      <c r="M16" s="13">
        <f t="shared" si="1"/>
        <v>2.2351797862001945E-2</v>
      </c>
    </row>
    <row r="17" spans="3:13" x14ac:dyDescent="0.25">
      <c r="K17" s="10" t="s">
        <v>212</v>
      </c>
      <c r="L17">
        <v>22</v>
      </c>
      <c r="M17" s="13">
        <f t="shared" si="1"/>
        <v>2.1379980563654033E-2</v>
      </c>
    </row>
    <row r="18" spans="3:13" x14ac:dyDescent="0.25">
      <c r="C18" s="13"/>
      <c r="K18" s="10" t="s">
        <v>214</v>
      </c>
      <c r="L18">
        <v>22</v>
      </c>
      <c r="M18" s="13">
        <f t="shared" si="1"/>
        <v>2.1379980563654033E-2</v>
      </c>
    </row>
    <row r="19" spans="3:13" x14ac:dyDescent="0.25">
      <c r="C19" s="13"/>
      <c r="K19" s="10" t="s">
        <v>213</v>
      </c>
      <c r="L19">
        <v>21</v>
      </c>
      <c r="M19" s="13">
        <f t="shared" si="1"/>
        <v>2.0408163265306121E-2</v>
      </c>
    </row>
    <row r="20" spans="3:13" x14ac:dyDescent="0.25">
      <c r="C20" s="13"/>
      <c r="K20" s="10" t="s">
        <v>21</v>
      </c>
      <c r="L20">
        <v>306</v>
      </c>
      <c r="M20" s="13">
        <f t="shared" si="1"/>
        <v>0.29737609329446063</v>
      </c>
    </row>
    <row r="21" spans="3:13" x14ac:dyDescent="0.25">
      <c r="C21" s="13"/>
      <c r="K21" s="10"/>
      <c r="M21" s="13"/>
    </row>
    <row r="22" spans="3:13" x14ac:dyDescent="0.25">
      <c r="C22" s="13"/>
      <c r="K22" s="10"/>
      <c r="M22" s="13"/>
    </row>
    <row r="23" spans="3:13" x14ac:dyDescent="0.25">
      <c r="C23" s="13"/>
      <c r="K23" s="10"/>
      <c r="M23" s="13"/>
    </row>
    <row r="24" spans="3:13" x14ac:dyDescent="0.25">
      <c r="C24" s="13"/>
      <c r="K24" s="10"/>
      <c r="M24" s="13"/>
    </row>
    <row r="25" spans="3:13" x14ac:dyDescent="0.25">
      <c r="C25" s="13"/>
      <c r="K25" s="10"/>
      <c r="M25" s="13"/>
    </row>
    <row r="26" spans="3:13" x14ac:dyDescent="0.25">
      <c r="C26" s="13"/>
      <c r="K26" s="10"/>
      <c r="M26" s="13"/>
    </row>
    <row r="27" spans="3:13" x14ac:dyDescent="0.25">
      <c r="C27" s="13"/>
      <c r="K27" s="10"/>
      <c r="M27" s="13"/>
    </row>
    <row r="28" spans="3:13" x14ac:dyDescent="0.25">
      <c r="C28" s="13"/>
      <c r="K28" s="10"/>
      <c r="M28" s="13"/>
    </row>
    <row r="29" spans="3:13" x14ac:dyDescent="0.25">
      <c r="C29" s="13"/>
      <c r="K29" s="10"/>
      <c r="M29" s="13"/>
    </row>
    <row r="30" spans="3:13" x14ac:dyDescent="0.25">
      <c r="C30" s="13"/>
      <c r="K30" s="10"/>
      <c r="M30" s="13"/>
    </row>
    <row r="31" spans="3:13" x14ac:dyDescent="0.25">
      <c r="C31" s="13"/>
      <c r="K31" s="10"/>
      <c r="M31" s="13"/>
    </row>
    <row r="32" spans="3:13" x14ac:dyDescent="0.25">
      <c r="C32" s="13"/>
      <c r="K32" s="10"/>
      <c r="M32" s="13"/>
    </row>
    <row r="33" spans="1:13" x14ac:dyDescent="0.25">
      <c r="C33" s="13"/>
      <c r="K33" s="10"/>
      <c r="M33" s="13"/>
    </row>
    <row r="34" spans="1:13" x14ac:dyDescent="0.25">
      <c r="C34" s="13"/>
      <c r="K34" s="10"/>
      <c r="M34" s="13"/>
    </row>
    <row r="35" spans="1:13" x14ac:dyDescent="0.25">
      <c r="C35" s="13"/>
      <c r="K35" s="10"/>
      <c r="M35" s="13"/>
    </row>
    <row r="36" spans="1:13" x14ac:dyDescent="0.25">
      <c r="C36" s="13"/>
      <c r="K36" s="10"/>
      <c r="M36" s="13"/>
    </row>
    <row r="37" spans="1:13" x14ac:dyDescent="0.25">
      <c r="C37" s="13"/>
      <c r="K37" s="10"/>
      <c r="M37" s="13"/>
    </row>
    <row r="38" spans="1:13" x14ac:dyDescent="0.25">
      <c r="C38" s="13"/>
      <c r="K38" s="10"/>
      <c r="M38" s="13"/>
    </row>
    <row r="39" spans="1:13" x14ac:dyDescent="0.25">
      <c r="C39" s="13"/>
      <c r="K39" s="10"/>
      <c r="M39" s="13"/>
    </row>
    <row r="40" spans="1:13" x14ac:dyDescent="0.25">
      <c r="C40" s="13"/>
      <c r="K40" s="10"/>
      <c r="M40" s="13"/>
    </row>
    <row r="41" spans="1:13" x14ac:dyDescent="0.25">
      <c r="A41" s="10"/>
      <c r="C41" s="13"/>
      <c r="K41" s="10"/>
      <c r="M41" s="13"/>
    </row>
    <row r="42" spans="1:13" x14ac:dyDescent="0.25">
      <c r="C42" s="13"/>
      <c r="K42" s="10"/>
      <c r="M42" s="13"/>
    </row>
    <row r="43" spans="1:13" x14ac:dyDescent="0.25">
      <c r="C43" s="13"/>
      <c r="K43" s="10"/>
      <c r="M43" s="13"/>
    </row>
    <row r="44" spans="1:13" x14ac:dyDescent="0.25">
      <c r="C44" s="13"/>
      <c r="K44" s="10"/>
      <c r="M44" s="13"/>
    </row>
    <row r="45" spans="1:13" x14ac:dyDescent="0.25">
      <c r="C45" s="13"/>
      <c r="K45" s="10"/>
      <c r="M45" s="13"/>
    </row>
    <row r="46" spans="1:13" x14ac:dyDescent="0.25">
      <c r="C46" s="13"/>
      <c r="K46" s="10"/>
      <c r="M46" s="13"/>
    </row>
    <row r="47" spans="1:13" x14ac:dyDescent="0.25">
      <c r="C47" s="13"/>
      <c r="K47" s="10"/>
      <c r="M47" s="13"/>
    </row>
    <row r="48" spans="1:13" x14ac:dyDescent="0.25">
      <c r="C48" s="13"/>
      <c r="K48" s="10"/>
      <c r="M48" s="13"/>
    </row>
    <row r="49" spans="3:13" x14ac:dyDescent="0.25">
      <c r="C49" s="13"/>
      <c r="K49" s="10"/>
      <c r="M49" s="13"/>
    </row>
    <row r="50" spans="3:13" x14ac:dyDescent="0.25">
      <c r="C50" s="13"/>
      <c r="K50" s="10"/>
      <c r="M50" s="13"/>
    </row>
    <row r="51" spans="3:13" x14ac:dyDescent="0.25">
      <c r="C51" s="13"/>
      <c r="K51" s="10"/>
      <c r="M51" s="13"/>
    </row>
    <row r="52" spans="3:13" x14ac:dyDescent="0.25">
      <c r="C52" s="13"/>
      <c r="K52" s="10"/>
      <c r="M52" s="13"/>
    </row>
    <row r="53" spans="3:13" x14ac:dyDescent="0.25">
      <c r="C53" s="13"/>
      <c r="K53" s="10"/>
      <c r="M53" s="13"/>
    </row>
    <row r="54" spans="3:13" x14ac:dyDescent="0.25">
      <c r="C54" s="13"/>
      <c r="K54" s="10"/>
      <c r="M54" s="13"/>
    </row>
    <row r="55" spans="3:13" x14ac:dyDescent="0.25">
      <c r="C55" s="13"/>
      <c r="K55" s="10"/>
      <c r="M55" s="13"/>
    </row>
    <row r="56" spans="3:13" x14ac:dyDescent="0.25">
      <c r="C56" s="13"/>
      <c r="K56" s="10"/>
      <c r="M56" s="13"/>
    </row>
    <row r="57" spans="3:13" x14ac:dyDescent="0.25">
      <c r="C57" s="13"/>
      <c r="K57" s="10"/>
      <c r="M57" s="13"/>
    </row>
    <row r="58" spans="3:13" x14ac:dyDescent="0.25">
      <c r="C58" s="13"/>
      <c r="K58" s="10"/>
      <c r="M58" s="13"/>
    </row>
    <row r="59" spans="3:13" x14ac:dyDescent="0.25">
      <c r="C59" s="13"/>
      <c r="K59" s="10"/>
      <c r="M59" s="13"/>
    </row>
    <row r="60" spans="3:13" x14ac:dyDescent="0.25">
      <c r="K60" s="10"/>
      <c r="M60" s="13"/>
    </row>
    <row r="61" spans="3:13" x14ac:dyDescent="0.25">
      <c r="K61" s="10"/>
      <c r="M61" s="13"/>
    </row>
    <row r="62" spans="3:13" x14ac:dyDescent="0.25">
      <c r="M62" s="13"/>
    </row>
    <row r="63" spans="3:13" x14ac:dyDescent="0.25">
      <c r="M63" s="13"/>
    </row>
    <row r="64" spans="3:13" x14ac:dyDescent="0.25">
      <c r="M64" s="13"/>
    </row>
    <row r="65" spans="13:13" x14ac:dyDescent="0.25">
      <c r="M65" s="13"/>
    </row>
    <row r="66" spans="13:13" x14ac:dyDescent="0.25">
      <c r="M66" s="13"/>
    </row>
    <row r="67" spans="13:13" x14ac:dyDescent="0.25">
      <c r="M67" s="13"/>
    </row>
    <row r="68" spans="13:13" x14ac:dyDescent="0.25">
      <c r="M68" s="13"/>
    </row>
    <row r="69" spans="13:13" x14ac:dyDescent="0.25">
      <c r="M69" s="13"/>
    </row>
    <row r="70" spans="13:13" x14ac:dyDescent="0.25">
      <c r="M70" s="13"/>
    </row>
    <row r="71" spans="13:13" x14ac:dyDescent="0.25">
      <c r="M71" s="13"/>
    </row>
    <row r="72" spans="13:13" x14ac:dyDescent="0.25">
      <c r="M72" s="13"/>
    </row>
    <row r="73" spans="13:13" x14ac:dyDescent="0.25">
      <c r="M73" s="13"/>
    </row>
    <row r="74" spans="13:13" x14ac:dyDescent="0.25">
      <c r="M74" s="13"/>
    </row>
    <row r="75" spans="13:13" x14ac:dyDescent="0.25">
      <c r="M75" s="13"/>
    </row>
    <row r="76" spans="13:13" x14ac:dyDescent="0.25">
      <c r="M76" s="13"/>
    </row>
    <row r="77" spans="13:13" x14ac:dyDescent="0.25">
      <c r="M77" s="13"/>
    </row>
    <row r="78" spans="13:13" x14ac:dyDescent="0.25">
      <c r="M78" s="13"/>
    </row>
    <row r="79" spans="13:13" x14ac:dyDescent="0.25">
      <c r="M79" s="13"/>
    </row>
    <row r="80" spans="13:13" x14ac:dyDescent="0.25">
      <c r="M80" s="13"/>
    </row>
    <row r="81" spans="1:13" x14ac:dyDescent="0.25">
      <c r="M81" s="13"/>
    </row>
    <row r="82" spans="1:13" x14ac:dyDescent="0.25">
      <c r="M82" s="13"/>
    </row>
    <row r="83" spans="1:13" x14ac:dyDescent="0.25">
      <c r="M83" s="13"/>
    </row>
    <row r="84" spans="1:13" x14ac:dyDescent="0.25">
      <c r="M84" s="13"/>
    </row>
    <row r="85" spans="1:13" x14ac:dyDescent="0.25">
      <c r="M85" s="13"/>
    </row>
    <row r="86" spans="1:13" x14ac:dyDescent="0.25">
      <c r="M86" s="13"/>
    </row>
    <row r="87" spans="1:13" x14ac:dyDescent="0.25">
      <c r="M87" s="13"/>
    </row>
    <row r="88" spans="1:13" x14ac:dyDescent="0.25">
      <c r="M88" s="13"/>
    </row>
    <row r="89" spans="1:13" x14ac:dyDescent="0.25">
      <c r="M89" s="13"/>
    </row>
    <row r="90" spans="1:13" x14ac:dyDescent="0.25">
      <c r="M90" s="13"/>
    </row>
    <row r="91" spans="1:13" x14ac:dyDescent="0.25">
      <c r="M91" s="13"/>
    </row>
    <row r="92" spans="1:13" x14ac:dyDescent="0.25">
      <c r="M92" s="13"/>
    </row>
    <row r="93" spans="1:13" x14ac:dyDescent="0.25">
      <c r="A93" s="9"/>
      <c r="M93" s="13"/>
    </row>
    <row r="94" spans="1:13" x14ac:dyDescent="0.25">
      <c r="M94" s="13"/>
    </row>
    <row r="95" spans="1:13" x14ac:dyDescent="0.25">
      <c r="M95" s="13"/>
    </row>
    <row r="96" spans="1:13" x14ac:dyDescent="0.25">
      <c r="M96" s="13"/>
    </row>
    <row r="97" spans="13:13" x14ac:dyDescent="0.25">
      <c r="M97" s="13"/>
    </row>
    <row r="98" spans="13:13" x14ac:dyDescent="0.25">
      <c r="M98" s="13"/>
    </row>
    <row r="99" spans="13:13" x14ac:dyDescent="0.25">
      <c r="M99" s="13"/>
    </row>
    <row r="100" spans="13:13" x14ac:dyDescent="0.25">
      <c r="M100" s="13"/>
    </row>
    <row r="101" spans="13:13" x14ac:dyDescent="0.25">
      <c r="M101" s="13"/>
    </row>
    <row r="102" spans="13:13" x14ac:dyDescent="0.25">
      <c r="M102" s="13"/>
    </row>
    <row r="103" spans="13:13" x14ac:dyDescent="0.25">
      <c r="M103" s="13"/>
    </row>
    <row r="104" spans="13:13" x14ac:dyDescent="0.25">
      <c r="M104" s="13"/>
    </row>
    <row r="105" spans="13:13" x14ac:dyDescent="0.25">
      <c r="M105" s="13"/>
    </row>
    <row r="106" spans="13:13" x14ac:dyDescent="0.25">
      <c r="M106" s="13"/>
    </row>
    <row r="107" spans="13:13" x14ac:dyDescent="0.25">
      <c r="M107" s="13"/>
    </row>
    <row r="108" spans="13:13" x14ac:dyDescent="0.25">
      <c r="M108" s="13"/>
    </row>
    <row r="109" spans="13:13" x14ac:dyDescent="0.25">
      <c r="M109" s="13"/>
    </row>
    <row r="110" spans="13:13" x14ac:dyDescent="0.25">
      <c r="M110" s="13"/>
    </row>
    <row r="111" spans="13:13" x14ac:dyDescent="0.25">
      <c r="M111" s="13"/>
    </row>
    <row r="112" spans="13:13" x14ac:dyDescent="0.25">
      <c r="M112" s="13"/>
    </row>
    <row r="113" spans="1:13" x14ac:dyDescent="0.25">
      <c r="M113" s="13"/>
    </row>
    <row r="114" spans="1:13" x14ac:dyDescent="0.25">
      <c r="M114" s="13"/>
    </row>
    <row r="115" spans="1:13" x14ac:dyDescent="0.25">
      <c r="A115" s="9"/>
      <c r="M115" s="13"/>
    </row>
    <row r="116" spans="1:13" x14ac:dyDescent="0.25">
      <c r="M116" s="13"/>
    </row>
    <row r="117" spans="1:13" x14ac:dyDescent="0.25">
      <c r="M117" s="13"/>
    </row>
    <row r="118" spans="1:13" x14ac:dyDescent="0.25">
      <c r="M118" s="13"/>
    </row>
    <row r="119" spans="1:13" x14ac:dyDescent="0.25">
      <c r="M119" s="13"/>
    </row>
    <row r="120" spans="1:13" x14ac:dyDescent="0.25">
      <c r="M120" s="13"/>
    </row>
    <row r="121" spans="1:13" x14ac:dyDescent="0.25">
      <c r="M121" s="13"/>
    </row>
    <row r="122" spans="1:13" x14ac:dyDescent="0.25">
      <c r="M122" s="13"/>
    </row>
    <row r="123" spans="1:13" x14ac:dyDescent="0.25">
      <c r="M123" s="13"/>
    </row>
    <row r="124" spans="1:13" x14ac:dyDescent="0.25">
      <c r="M124" s="13"/>
    </row>
    <row r="125" spans="1:13" x14ac:dyDescent="0.25">
      <c r="M125" s="13"/>
    </row>
    <row r="126" spans="1:13" x14ac:dyDescent="0.25">
      <c r="M126" s="13"/>
    </row>
    <row r="127" spans="1:13" x14ac:dyDescent="0.25">
      <c r="M127" s="13"/>
    </row>
    <row r="128" spans="1:13" x14ac:dyDescent="0.25">
      <c r="M128" s="13"/>
    </row>
    <row r="129" spans="13:13" x14ac:dyDescent="0.25">
      <c r="M129" s="13"/>
    </row>
    <row r="130" spans="13:13" x14ac:dyDescent="0.25">
      <c r="M130" s="13"/>
    </row>
    <row r="131" spans="13:13" x14ac:dyDescent="0.25">
      <c r="M131" s="13"/>
    </row>
    <row r="132" spans="13:13" x14ac:dyDescent="0.25">
      <c r="M132" s="13"/>
    </row>
    <row r="133" spans="13:13" x14ac:dyDescent="0.25">
      <c r="M133" s="13"/>
    </row>
    <row r="134" spans="13:13" x14ac:dyDescent="0.25">
      <c r="M134" s="13"/>
    </row>
    <row r="135" spans="13:13" x14ac:dyDescent="0.25">
      <c r="M135" s="13"/>
    </row>
    <row r="136" spans="13:13" x14ac:dyDescent="0.25">
      <c r="M136" s="13"/>
    </row>
    <row r="137" spans="13:13" x14ac:dyDescent="0.25">
      <c r="M137" s="13"/>
    </row>
    <row r="138" spans="13:13" x14ac:dyDescent="0.25">
      <c r="M138" s="13"/>
    </row>
    <row r="139" spans="13:13" x14ac:dyDescent="0.25">
      <c r="M139" s="13"/>
    </row>
    <row r="140" spans="13:13" x14ac:dyDescent="0.25">
      <c r="M140" s="13"/>
    </row>
    <row r="141" spans="13:13" x14ac:dyDescent="0.25">
      <c r="M141" s="13"/>
    </row>
    <row r="142" spans="13:13" x14ac:dyDescent="0.25">
      <c r="M142" s="13"/>
    </row>
    <row r="143" spans="13:13" x14ac:dyDescent="0.25">
      <c r="M143" s="13"/>
    </row>
    <row r="144" spans="13:13" x14ac:dyDescent="0.25">
      <c r="M144" s="13"/>
    </row>
    <row r="145" spans="13:13" x14ac:dyDescent="0.25">
      <c r="M145" s="13"/>
    </row>
    <row r="146" spans="13:13" x14ac:dyDescent="0.25">
      <c r="M146" s="13"/>
    </row>
    <row r="147" spans="13:13" x14ac:dyDescent="0.25">
      <c r="M147" s="13"/>
    </row>
    <row r="148" spans="13:13" x14ac:dyDescent="0.25">
      <c r="M148" s="13"/>
    </row>
    <row r="149" spans="13:13" x14ac:dyDescent="0.25">
      <c r="M149" s="13"/>
    </row>
    <row r="150" spans="13:13" x14ac:dyDescent="0.25">
      <c r="M150" s="13"/>
    </row>
    <row r="151" spans="13:13" x14ac:dyDescent="0.25">
      <c r="M151" s="13"/>
    </row>
    <row r="152" spans="13:13" x14ac:dyDescent="0.25">
      <c r="M152" s="13"/>
    </row>
    <row r="153" spans="13:13" x14ac:dyDescent="0.25">
      <c r="M153" s="13"/>
    </row>
    <row r="154" spans="13:13" x14ac:dyDescent="0.25">
      <c r="M154" s="13"/>
    </row>
    <row r="155" spans="13:13" x14ac:dyDescent="0.25">
      <c r="M155" s="13"/>
    </row>
    <row r="156" spans="13:13" x14ac:dyDescent="0.25">
      <c r="M156" s="13"/>
    </row>
    <row r="157" spans="13:13" x14ac:dyDescent="0.25">
      <c r="M157" s="13"/>
    </row>
    <row r="158" spans="13:13" x14ac:dyDescent="0.25">
      <c r="M158" s="13"/>
    </row>
    <row r="159" spans="13:13" x14ac:dyDescent="0.25">
      <c r="M159" s="13"/>
    </row>
    <row r="160" spans="13:13" x14ac:dyDescent="0.25">
      <c r="M160" s="13"/>
    </row>
    <row r="161" spans="13:13" x14ac:dyDescent="0.25">
      <c r="M161" s="13"/>
    </row>
    <row r="162" spans="13:13" x14ac:dyDescent="0.25">
      <c r="M162" s="13"/>
    </row>
    <row r="163" spans="13:13" x14ac:dyDescent="0.25">
      <c r="M163" s="13"/>
    </row>
    <row r="164" spans="13:13" x14ac:dyDescent="0.25">
      <c r="M164" s="13"/>
    </row>
    <row r="165" spans="13:13" x14ac:dyDescent="0.25">
      <c r="M165" s="13"/>
    </row>
    <row r="166" spans="13:13" x14ac:dyDescent="0.25">
      <c r="M166" s="13"/>
    </row>
    <row r="167" spans="13:13" x14ac:dyDescent="0.25">
      <c r="M167" s="13"/>
    </row>
    <row r="168" spans="13:13" x14ac:dyDescent="0.25">
      <c r="M168" s="13"/>
    </row>
    <row r="169" spans="13:13" x14ac:dyDescent="0.25">
      <c r="M169" s="13"/>
    </row>
    <row r="170" spans="13:13" x14ac:dyDescent="0.25">
      <c r="M170" s="13"/>
    </row>
    <row r="171" spans="13:13" x14ac:dyDescent="0.25">
      <c r="M171" s="13"/>
    </row>
    <row r="172" spans="13:13" x14ac:dyDescent="0.25">
      <c r="M172" s="13"/>
    </row>
    <row r="173" spans="13:13" x14ac:dyDescent="0.25">
      <c r="M173" s="13"/>
    </row>
    <row r="174" spans="13:13" x14ac:dyDescent="0.25">
      <c r="M174" s="13"/>
    </row>
    <row r="175" spans="13:13" x14ac:dyDescent="0.25">
      <c r="M175" s="13"/>
    </row>
    <row r="176" spans="13:13" x14ac:dyDescent="0.25">
      <c r="M176" s="13"/>
    </row>
    <row r="177" spans="13:13" x14ac:dyDescent="0.25">
      <c r="M177" s="13"/>
    </row>
    <row r="178" spans="13:13" x14ac:dyDescent="0.25">
      <c r="M178" s="13"/>
    </row>
    <row r="179" spans="13:13" x14ac:dyDescent="0.25">
      <c r="M179" s="13"/>
    </row>
    <row r="180" spans="13:13" x14ac:dyDescent="0.25">
      <c r="M180" s="13"/>
    </row>
    <row r="181" spans="13:13" x14ac:dyDescent="0.25">
      <c r="M181" s="13"/>
    </row>
    <row r="182" spans="13:13" x14ac:dyDescent="0.25">
      <c r="M182" s="13"/>
    </row>
    <row r="183" spans="13:13" x14ac:dyDescent="0.25">
      <c r="M183" s="13"/>
    </row>
    <row r="184" spans="13:13" x14ac:dyDescent="0.25">
      <c r="M184" s="13"/>
    </row>
    <row r="185" spans="13:13" x14ac:dyDescent="0.25">
      <c r="M185" s="13"/>
    </row>
    <row r="186" spans="13:13" x14ac:dyDescent="0.25">
      <c r="M186" s="13"/>
    </row>
    <row r="187" spans="13:13" x14ac:dyDescent="0.25">
      <c r="M187" s="13"/>
    </row>
    <row r="188" spans="13:13" x14ac:dyDescent="0.25">
      <c r="M188" s="13"/>
    </row>
    <row r="189" spans="13:13" x14ac:dyDescent="0.25">
      <c r="M189" s="13"/>
    </row>
    <row r="190" spans="13:13" x14ac:dyDescent="0.25">
      <c r="M190" s="13"/>
    </row>
    <row r="191" spans="13:13" x14ac:dyDescent="0.25">
      <c r="M191" s="13"/>
    </row>
    <row r="192" spans="13:13" x14ac:dyDescent="0.25">
      <c r="M192" s="13"/>
    </row>
    <row r="193" spans="13:13" x14ac:dyDescent="0.25">
      <c r="M193" s="13"/>
    </row>
    <row r="194" spans="13:13" x14ac:dyDescent="0.25">
      <c r="M194" s="13"/>
    </row>
    <row r="195" spans="13:13" x14ac:dyDescent="0.25">
      <c r="M195" s="13"/>
    </row>
    <row r="196" spans="13:13" x14ac:dyDescent="0.25">
      <c r="M196" s="13"/>
    </row>
    <row r="197" spans="13:13" x14ac:dyDescent="0.25">
      <c r="M197" s="13"/>
    </row>
    <row r="198" spans="13:13" x14ac:dyDescent="0.25">
      <c r="M198" s="13"/>
    </row>
    <row r="199" spans="13:13" x14ac:dyDescent="0.25">
      <c r="M199" s="13"/>
    </row>
    <row r="200" spans="13:13" x14ac:dyDescent="0.25">
      <c r="M200" s="13"/>
    </row>
    <row r="201" spans="13:13" x14ac:dyDescent="0.25">
      <c r="M201" s="13"/>
    </row>
    <row r="202" spans="13:13" x14ac:dyDescent="0.25">
      <c r="M202" s="13"/>
    </row>
    <row r="203" spans="13:13" x14ac:dyDescent="0.25">
      <c r="M203" s="13"/>
    </row>
    <row r="204" spans="13:13" x14ac:dyDescent="0.25">
      <c r="M204" s="13"/>
    </row>
    <row r="205" spans="13:13" x14ac:dyDescent="0.25">
      <c r="M205" s="13"/>
    </row>
    <row r="206" spans="13:13" x14ac:dyDescent="0.25">
      <c r="M206" s="13"/>
    </row>
    <row r="207" spans="13:13" x14ac:dyDescent="0.25">
      <c r="M207" s="13"/>
    </row>
    <row r="208" spans="13:13" x14ac:dyDescent="0.25">
      <c r="M208" s="13"/>
    </row>
    <row r="209" spans="13:13" x14ac:dyDescent="0.25">
      <c r="M209" s="13"/>
    </row>
    <row r="210" spans="13:13" x14ac:dyDescent="0.25">
      <c r="M210" s="13"/>
    </row>
    <row r="211" spans="13:13" x14ac:dyDescent="0.25">
      <c r="M211" s="13"/>
    </row>
    <row r="212" spans="13:13" x14ac:dyDescent="0.25">
      <c r="M212" s="13"/>
    </row>
    <row r="213" spans="13:13" x14ac:dyDescent="0.25">
      <c r="M213" s="13"/>
    </row>
    <row r="214" spans="13:13" x14ac:dyDescent="0.25">
      <c r="M214" s="13"/>
    </row>
    <row r="215" spans="13:13" x14ac:dyDescent="0.25">
      <c r="M215" s="13"/>
    </row>
    <row r="216" spans="13:13" x14ac:dyDescent="0.25">
      <c r="M216" s="13"/>
    </row>
    <row r="217" spans="13:13" x14ac:dyDescent="0.25">
      <c r="M217" s="13"/>
    </row>
    <row r="218" spans="13:13" x14ac:dyDescent="0.25">
      <c r="M218" s="13"/>
    </row>
    <row r="219" spans="13:13" x14ac:dyDescent="0.25">
      <c r="M219" s="13"/>
    </row>
    <row r="220" spans="13:13" x14ac:dyDescent="0.25">
      <c r="M220" s="13"/>
    </row>
    <row r="221" spans="13:13" x14ac:dyDescent="0.25">
      <c r="M221" s="13"/>
    </row>
    <row r="222" spans="13:13" x14ac:dyDescent="0.25">
      <c r="M222" s="13"/>
    </row>
    <row r="223" spans="13:13" x14ac:dyDescent="0.25">
      <c r="M223" s="13"/>
    </row>
    <row r="224" spans="13:13" x14ac:dyDescent="0.25">
      <c r="M224" s="13"/>
    </row>
    <row r="225" spans="13:13" x14ac:dyDescent="0.25">
      <c r="M225" s="13"/>
    </row>
    <row r="226" spans="13:13" x14ac:dyDescent="0.25">
      <c r="M226" s="13"/>
    </row>
    <row r="227" spans="13:13" x14ac:dyDescent="0.25">
      <c r="M227" s="13"/>
    </row>
    <row r="228" spans="13:13" x14ac:dyDescent="0.25">
      <c r="M228" s="13"/>
    </row>
    <row r="229" spans="13:13" x14ac:dyDescent="0.25">
      <c r="M229" s="13"/>
    </row>
    <row r="230" spans="13:13" x14ac:dyDescent="0.25">
      <c r="M230" s="13"/>
    </row>
    <row r="231" spans="13:13" x14ac:dyDescent="0.25">
      <c r="M231" s="13"/>
    </row>
    <row r="232" spans="13:13" x14ac:dyDescent="0.25">
      <c r="M232" s="13"/>
    </row>
    <row r="233" spans="13:13" x14ac:dyDescent="0.25">
      <c r="M233" s="13"/>
    </row>
    <row r="234" spans="13:13" x14ac:dyDescent="0.25">
      <c r="M234" s="13"/>
    </row>
    <row r="235" spans="13:13" x14ac:dyDescent="0.25">
      <c r="M235" s="13"/>
    </row>
    <row r="236" spans="13:13" x14ac:dyDescent="0.25">
      <c r="M236" s="13"/>
    </row>
    <row r="237" spans="13:13" x14ac:dyDescent="0.25">
      <c r="M237" s="13"/>
    </row>
    <row r="238" spans="13:13" x14ac:dyDescent="0.25">
      <c r="M238" s="13"/>
    </row>
    <row r="239" spans="13:13" x14ac:dyDescent="0.25">
      <c r="M239" s="13"/>
    </row>
    <row r="240" spans="13:13" x14ac:dyDescent="0.25">
      <c r="M240" s="13"/>
    </row>
    <row r="241" spans="13:13" x14ac:dyDescent="0.25">
      <c r="M241" s="13"/>
    </row>
    <row r="242" spans="13:13" x14ac:dyDescent="0.25">
      <c r="M242" s="13"/>
    </row>
    <row r="243" spans="13:13" x14ac:dyDescent="0.25">
      <c r="M243" s="13"/>
    </row>
    <row r="244" spans="13:13" x14ac:dyDescent="0.25">
      <c r="M244" s="13"/>
    </row>
    <row r="245" spans="13:13" x14ac:dyDescent="0.25">
      <c r="M245" s="13"/>
    </row>
    <row r="246" spans="13:13" x14ac:dyDescent="0.25">
      <c r="M246" s="13"/>
    </row>
    <row r="247" spans="13:13" x14ac:dyDescent="0.25">
      <c r="M247" s="13"/>
    </row>
    <row r="248" spans="13:13" x14ac:dyDescent="0.25">
      <c r="M248" s="13"/>
    </row>
    <row r="249" spans="13:13" x14ac:dyDescent="0.25">
      <c r="M249" s="13"/>
    </row>
    <row r="250" spans="13:13" x14ac:dyDescent="0.25">
      <c r="M250" s="13"/>
    </row>
    <row r="251" spans="13:13" x14ac:dyDescent="0.25">
      <c r="M251" s="13"/>
    </row>
    <row r="252" spans="13:13" x14ac:dyDescent="0.25">
      <c r="M252" s="13"/>
    </row>
    <row r="253" spans="13:13" x14ac:dyDescent="0.25">
      <c r="M253" s="13"/>
    </row>
    <row r="254" spans="13:13" x14ac:dyDescent="0.25">
      <c r="M254" s="13"/>
    </row>
    <row r="255" spans="13:13" x14ac:dyDescent="0.25">
      <c r="M255" s="13"/>
    </row>
    <row r="256" spans="13:13" x14ac:dyDescent="0.25">
      <c r="M256" s="13"/>
    </row>
    <row r="257" spans="13:13" x14ac:dyDescent="0.25">
      <c r="M257" s="13"/>
    </row>
    <row r="258" spans="13:13" x14ac:dyDescent="0.25">
      <c r="M258" s="13"/>
    </row>
    <row r="259" spans="13:13" x14ac:dyDescent="0.25">
      <c r="M259" s="13"/>
    </row>
    <row r="260" spans="13:13" x14ac:dyDescent="0.25">
      <c r="M260" s="13"/>
    </row>
  </sheetData>
  <sortState ref="K4:M61">
    <sortCondition descending="1" ref="L4:L6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 Originales</vt:lpstr>
      <vt:lpstr>Probabilidad Fuente S</vt:lpstr>
      <vt:lpstr>Probabilidad Fuente S1</vt:lpstr>
      <vt:lpstr>Hoja2</vt:lpstr>
      <vt:lpstr>Graficos Paquetes</vt:lpstr>
      <vt:lpstr>Probabilidad SRC DST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Abásolo</dc:creator>
  <cp:lastModifiedBy>na</cp:lastModifiedBy>
  <dcterms:created xsi:type="dcterms:W3CDTF">2015-09-15T18:09:35Z</dcterms:created>
  <dcterms:modified xsi:type="dcterms:W3CDTF">2015-09-20T18:15:01Z</dcterms:modified>
</cp:coreProperties>
</file>